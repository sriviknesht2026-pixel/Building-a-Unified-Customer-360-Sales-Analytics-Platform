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ecks" sheetId="2" state="visible" r:id="rId2"/>
  </sheets>
  <definedNames>
    <definedName name="_xlnm._FilterDatabase" localSheetId="1" hidden="1">'Checks'!$A$1:$F$122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sz val="11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5" fillId="5" borderId="1" pivotButton="0" quotePrefix="0" xfId="0"/>
    <xf numFmtId="0" fontId="6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8" customWidth="1" min="3" max="3"/>
    <col width="8" customWidth="1" min="4" max="4"/>
  </cols>
  <sheetData>
    <row r="1">
      <c r="A1" s="1" t="inlineStr">
        <is>
          <t>ECRMDP Reconciliation &amp; Validation Report</t>
        </is>
      </c>
    </row>
    <row r="3">
      <c r="A3" s="2" t="inlineStr">
        <is>
          <t>Run at</t>
        </is>
      </c>
      <c r="B3" s="3" t="inlineStr">
        <is>
          <t>2026-10-10 00:06</t>
        </is>
      </c>
    </row>
    <row r="4">
      <c r="A4" s="2" t="inlineStr">
        <is>
          <t>Database</t>
        </is>
      </c>
      <c r="B4" s="3" t="inlineStr">
        <is>
          <t>ecrmdp_dw on localhost:5432</t>
        </is>
      </c>
    </row>
    <row r="5">
      <c r="A5" s="2" t="inlineStr">
        <is>
          <t>Generated by</t>
        </is>
      </c>
      <c r="B5" s="3" t="inlineStr">
        <is>
          <t>python/reconciliation.py</t>
        </is>
      </c>
    </row>
    <row r="6">
      <c r="A6" s="2" t="inlineStr">
        <is>
          <t>Money tolerance</t>
        </is>
      </c>
      <c r="B6" s="3" t="inlineStr">
        <is>
          <t>±0.01</t>
        </is>
      </c>
    </row>
    <row r="8">
      <c r="A8" s="4" t="inlineStr">
        <is>
          <t>Result</t>
        </is>
      </c>
    </row>
    <row r="9">
      <c r="A9" s="5" t="inlineStr">
        <is>
          <t>PASS</t>
        </is>
      </c>
      <c r="B9" s="3">
        <f>COUNTIF(Checks!$F:$F,A9)</f>
        <v/>
      </c>
    </row>
    <row r="10">
      <c r="A10" s="6" t="inlineStr">
        <is>
          <t>FAIL</t>
        </is>
      </c>
      <c r="B10" s="3">
        <f>COUNTIF(Checks!$F:$F,A10)</f>
        <v/>
      </c>
    </row>
    <row r="11">
      <c r="A11" s="7" t="inlineStr">
        <is>
          <t>INFO</t>
        </is>
      </c>
      <c r="B11" s="3">
        <f>COUNTIF(Checks!$F:$F,A11)</f>
        <v/>
      </c>
    </row>
    <row r="12">
      <c r="A12" s="2" t="inlineStr">
        <is>
          <t>Overall</t>
        </is>
      </c>
      <c r="B12" s="2">
        <f>IF(B10=0,"ALL CHECKS PASSED","CHECKS FAILED - see Checks sheet")</f>
        <v/>
      </c>
    </row>
    <row r="14">
      <c r="A14" s="4" t="inlineStr">
        <is>
          <t>By layer</t>
        </is>
      </c>
    </row>
    <row r="15">
      <c r="A15" s="2" t="inlineStr">
        <is>
          <t>Layer</t>
        </is>
      </c>
      <c r="B15" s="2" t="inlineStr">
        <is>
          <t>PASS</t>
        </is>
      </c>
      <c r="C15" s="2" t="inlineStr">
        <is>
          <t>FAIL</t>
        </is>
      </c>
      <c r="D15" s="2" t="inlineStr">
        <is>
          <t>INFO</t>
        </is>
      </c>
    </row>
    <row r="16">
      <c r="A16" s="3" t="inlineStr">
        <is>
          <t>1 Raw -&gt; Bronze</t>
        </is>
      </c>
      <c r="B16" s="3">
        <f>COUNTIFS(Checks!$A:$A,$A16,Checks!$F:$F,"PASS")</f>
        <v/>
      </c>
      <c r="C16" s="3">
        <f>COUNTIFS(Checks!$A:$A,$A16,Checks!$F:$F,"FAIL")</f>
        <v/>
      </c>
      <c r="D16" s="3">
        <f>COUNTIFS(Checks!$A:$A,$A16,Checks!$F:$F,"INFO")</f>
        <v/>
      </c>
    </row>
    <row r="17">
      <c r="A17" s="3" t="inlineStr">
        <is>
          <t>2 Raw -&gt; Silver</t>
        </is>
      </c>
      <c r="B17" s="3">
        <f>COUNTIFS(Checks!$A:$A,$A17,Checks!$F:$F,"PASS")</f>
        <v/>
      </c>
      <c r="C17" s="3">
        <f>COUNTIFS(Checks!$A:$A,$A17,Checks!$F:$F,"FAIL")</f>
        <v/>
      </c>
      <c r="D17" s="3">
        <f>COUNTIFS(Checks!$A:$A,$A17,Checks!$F:$F,"INFO")</f>
        <v/>
      </c>
    </row>
    <row r="18">
      <c r="A18" s="3" t="inlineStr">
        <is>
          <t>3 Silver -&gt; Warehouse</t>
        </is>
      </c>
      <c r="B18" s="3">
        <f>COUNTIFS(Checks!$A:$A,$A18,Checks!$F:$F,"PASS")</f>
        <v/>
      </c>
      <c r="C18" s="3">
        <f>COUNTIFS(Checks!$A:$A,$A18,Checks!$F:$F,"FAIL")</f>
        <v/>
      </c>
      <c r="D18" s="3">
        <f>COUNTIFS(Checks!$A:$A,$A18,Checks!$F:$F,"INFO")</f>
        <v/>
      </c>
    </row>
    <row r="19">
      <c r="A19" s="3" t="inlineStr">
        <is>
          <t>4 Key integrity</t>
        </is>
      </c>
      <c r="B19" s="3">
        <f>COUNTIFS(Checks!$A:$A,$A19,Checks!$F:$F,"PASS")</f>
        <v/>
      </c>
      <c r="C19" s="3">
        <f>COUNTIFS(Checks!$A:$A,$A19,Checks!$F:$F,"FAIL")</f>
        <v/>
      </c>
      <c r="D19" s="3">
        <f>COUNTIFS(Checks!$A:$A,$A19,Checks!$F:$F,"INFO")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52" customWidth="1" min="3" max="3"/>
    <col width="16" customWidth="1" min="4" max="4"/>
    <col width="22" customWidth="1" min="5" max="5"/>
    <col width="9" customWidth="1" min="6" max="6"/>
  </cols>
  <sheetData>
    <row r="1">
      <c r="A1" s="8" t="inlineStr">
        <is>
          <t>Layer</t>
        </is>
      </c>
      <c r="B1" s="8" t="inlineStr">
        <is>
          <t>Source / table</t>
        </is>
      </c>
      <c r="C1" s="8" t="inlineStr">
        <is>
          <t>Check</t>
        </is>
      </c>
      <c r="D1" s="8" t="inlineStr">
        <is>
          <t>Expected</t>
        </is>
      </c>
      <c r="E1" s="8" t="inlineStr">
        <is>
          <t>Actual</t>
        </is>
      </c>
      <c r="F1" s="8" t="inlineStr">
        <is>
          <t>Status</t>
        </is>
      </c>
    </row>
    <row r="2">
      <c r="A2" s="9" t="inlineStr">
        <is>
          <t>1 Raw -&gt; Bronze</t>
        </is>
      </c>
      <c r="B2" s="9" t="inlineStr">
        <is>
          <t>Customer Master</t>
        </is>
      </c>
      <c r="C2" s="9" t="inlineStr">
        <is>
          <t>Row count (01_customer_master.csv vs customer_master_01)</t>
        </is>
      </c>
      <c r="D2" s="9" t="n">
        <v>2000</v>
      </c>
      <c r="E2" s="9" t="n">
        <v>2000</v>
      </c>
      <c r="F2" s="10" t="inlineStr">
        <is>
          <t>PASS</t>
        </is>
      </c>
    </row>
    <row r="3">
      <c r="A3" s="9" t="inlineStr">
        <is>
          <t>1 Raw -&gt; Bronze</t>
        </is>
      </c>
      <c r="B3" s="9" t="inlineStr">
        <is>
          <t>Customer Master</t>
        </is>
      </c>
      <c r="C3" s="9" t="inlineStr">
        <is>
          <t>Total of income</t>
        </is>
      </c>
      <c r="D3" s="9" t="n">
        <v>275501375</v>
      </c>
      <c r="E3" s="9" t="n">
        <v>275501375</v>
      </c>
      <c r="F3" s="10" t="inlineStr">
        <is>
          <t>PASS</t>
        </is>
      </c>
    </row>
    <row r="4">
      <c r="A4" s="9" t="inlineStr">
        <is>
          <t>1 Raw -&gt; Bronze</t>
        </is>
      </c>
      <c r="B4" s="9" t="inlineStr">
        <is>
          <t>Customer Master</t>
        </is>
      </c>
      <c r="C4" s="9" t="inlineStr">
        <is>
          <t>Total of age</t>
        </is>
      </c>
      <c r="D4" s="9" t="n">
        <v>86964</v>
      </c>
      <c r="E4" s="9" t="n">
        <v>86964</v>
      </c>
      <c r="F4" s="10" t="inlineStr">
        <is>
          <t>PASS</t>
        </is>
      </c>
    </row>
    <row r="5">
      <c r="A5" s="9" t="inlineStr">
        <is>
          <t>2 Raw -&gt; Silver</t>
        </is>
      </c>
      <c r="B5" s="9" t="inlineStr">
        <is>
          <t>Customer Master</t>
        </is>
      </c>
      <c r="C5" s="9" t="inlineStr">
        <is>
          <t>Rows removed by cleansing (duplicates)</t>
        </is>
      </c>
      <c r="D5" s="9" t="n">
        <v>2000</v>
      </c>
      <c r="E5" s="9" t="inlineStr">
        <is>
          <t>2000 kept, 0 removed</t>
        </is>
      </c>
      <c r="F5" s="11" t="inlineStr">
        <is>
          <t>INFO</t>
        </is>
      </c>
    </row>
    <row r="6">
      <c r="A6" s="9" t="inlineStr">
        <is>
          <t>3 Silver -&gt; Warehouse</t>
        </is>
      </c>
      <c r="B6" s="9" t="inlineStr">
        <is>
          <t>Customer Master</t>
        </is>
      </c>
      <c r="C6" s="9" t="inlineStr">
        <is>
          <t>Row count (customer_master_silver.csv vs dim_customer)</t>
        </is>
      </c>
      <c r="D6" s="9" t="n">
        <v>2000</v>
      </c>
      <c r="E6" s="9" t="n">
        <v>2000</v>
      </c>
      <c r="F6" s="10" t="inlineStr">
        <is>
          <t>PASS</t>
        </is>
      </c>
    </row>
    <row r="7">
      <c r="A7" s="9" t="inlineStr">
        <is>
          <t>3 Silver -&gt; Warehouse</t>
        </is>
      </c>
      <c r="B7" s="9" t="inlineStr">
        <is>
          <t>Customer Master</t>
        </is>
      </c>
      <c r="C7" s="9" t="inlineStr">
        <is>
          <t>Total of income</t>
        </is>
      </c>
      <c r="D7" s="9" t="n">
        <v>275501375</v>
      </c>
      <c r="E7" s="9" t="n">
        <v>275501375</v>
      </c>
      <c r="F7" s="10" t="inlineStr">
        <is>
          <t>PASS</t>
        </is>
      </c>
    </row>
    <row r="8">
      <c r="A8" s="9" t="inlineStr">
        <is>
          <t>3 Silver -&gt; Warehouse</t>
        </is>
      </c>
      <c r="B8" s="9" t="inlineStr">
        <is>
          <t>Customer Master</t>
        </is>
      </c>
      <c r="C8" s="9" t="inlineStr">
        <is>
          <t>Total of age</t>
        </is>
      </c>
      <c r="D8" s="9" t="n">
        <v>86964</v>
      </c>
      <c r="E8" s="9" t="n">
        <v>86964</v>
      </c>
      <c r="F8" s="10" t="inlineStr">
        <is>
          <t>PASS</t>
        </is>
      </c>
    </row>
    <row r="9">
      <c r="A9" s="9" t="inlineStr">
        <is>
          <t>3 Silver -&gt; Warehouse</t>
        </is>
      </c>
      <c r="B9" s="9" t="inlineStr">
        <is>
          <t>Customer Master</t>
        </is>
      </c>
      <c r="C9" s="9" t="inlineStr">
        <is>
          <t>Silver customer_ids missing from dim_customer</t>
        </is>
      </c>
      <c r="D9" s="9" t="n">
        <v>0</v>
      </c>
      <c r="E9" s="9" t="n">
        <v>0</v>
      </c>
      <c r="F9" s="10" t="inlineStr">
        <is>
          <t>PASS</t>
        </is>
      </c>
    </row>
    <row r="10">
      <c r="A10" s="9" t="inlineStr">
        <is>
          <t>3 Silver -&gt; Warehouse</t>
        </is>
      </c>
      <c r="B10" s="9" t="inlineStr">
        <is>
          <t>Customer Master</t>
        </is>
      </c>
      <c r="C10" s="9" t="inlineStr">
        <is>
          <t>dim_customer customer_ids not in silver file</t>
        </is>
      </c>
      <c r="D10" s="9" t="n">
        <v>0</v>
      </c>
      <c r="E10" s="9" t="n">
        <v>0</v>
      </c>
      <c r="F10" s="10" t="inlineStr">
        <is>
          <t>PASS</t>
        </is>
      </c>
    </row>
    <row r="11">
      <c r="A11" s="9" t="inlineStr">
        <is>
          <t>1 Raw -&gt; Bronze</t>
        </is>
      </c>
      <c r="B11" s="9" t="inlineStr">
        <is>
          <t>Lead Management</t>
        </is>
      </c>
      <c r="C11" s="9" t="inlineStr">
        <is>
          <t>Row count (02_lead_management.xlsx vs lead_management_02)</t>
        </is>
      </c>
      <c r="D11" s="9" t="n">
        <v>2000</v>
      </c>
      <c r="E11" s="9" t="n">
        <v>2000</v>
      </c>
      <c r="F11" s="10" t="inlineStr">
        <is>
          <t>PASS</t>
        </is>
      </c>
    </row>
    <row r="12">
      <c r="A12" s="9" t="inlineStr">
        <is>
          <t>1 Raw -&gt; Bronze</t>
        </is>
      </c>
      <c r="B12" s="9" t="inlineStr">
        <is>
          <t>Lead Management</t>
        </is>
      </c>
      <c r="C12" s="9" t="inlineStr">
        <is>
          <t>Total of lead_score</t>
        </is>
      </c>
      <c r="D12" s="9" t="n">
        <v>100139</v>
      </c>
      <c r="E12" s="9" t="n">
        <v>100139</v>
      </c>
      <c r="F12" s="10" t="inlineStr">
        <is>
          <t>PASS</t>
        </is>
      </c>
    </row>
    <row r="13">
      <c r="A13" s="9" t="inlineStr">
        <is>
          <t>2 Raw -&gt; Silver</t>
        </is>
      </c>
      <c r="B13" s="9" t="inlineStr">
        <is>
          <t>Lead Management</t>
        </is>
      </c>
      <c r="C13" s="9" t="inlineStr">
        <is>
          <t>Rows removed by cleansing (duplicates)</t>
        </is>
      </c>
      <c r="D13" s="9" t="n">
        <v>2000</v>
      </c>
      <c r="E13" s="9" t="inlineStr">
        <is>
          <t>2000 kept, 0 removed</t>
        </is>
      </c>
      <c r="F13" s="11" t="inlineStr">
        <is>
          <t>INFO</t>
        </is>
      </c>
    </row>
    <row r="14">
      <c r="A14" s="9" t="inlineStr">
        <is>
          <t>3 Silver -&gt; Warehouse</t>
        </is>
      </c>
      <c r="B14" s="9" t="inlineStr">
        <is>
          <t>Lead Management</t>
        </is>
      </c>
      <c r="C14" s="9" t="inlineStr">
        <is>
          <t>Row count (lead_management_silver.csv vs fact_leads)</t>
        </is>
      </c>
      <c r="D14" s="9" t="n">
        <v>2000</v>
      </c>
      <c r="E14" s="9" t="n">
        <v>2000</v>
      </c>
      <c r="F14" s="10" t="inlineStr">
        <is>
          <t>PASS</t>
        </is>
      </c>
    </row>
    <row r="15">
      <c r="A15" s="9" t="inlineStr">
        <is>
          <t>3 Silver -&gt; Warehouse</t>
        </is>
      </c>
      <c r="B15" s="9" t="inlineStr">
        <is>
          <t>Lead Management</t>
        </is>
      </c>
      <c r="C15" s="9" t="inlineStr">
        <is>
          <t>Total of lead_score</t>
        </is>
      </c>
      <c r="D15" s="9" t="n">
        <v>100139</v>
      </c>
      <c r="E15" s="9" t="n">
        <v>100139</v>
      </c>
      <c r="F15" s="10" t="inlineStr">
        <is>
          <t>PASS</t>
        </is>
      </c>
    </row>
    <row r="16">
      <c r="A16" s="9" t="inlineStr">
        <is>
          <t>3 Silver -&gt; Warehouse</t>
        </is>
      </c>
      <c r="B16" s="9" t="inlineStr">
        <is>
          <t>Lead Management</t>
        </is>
      </c>
      <c r="C16" s="9" t="inlineStr">
        <is>
          <t>Silver lead_ids missing from fact_leads</t>
        </is>
      </c>
      <c r="D16" s="9" t="n">
        <v>0</v>
      </c>
      <c r="E16" s="9" t="n">
        <v>0</v>
      </c>
      <c r="F16" s="10" t="inlineStr">
        <is>
          <t>PASS</t>
        </is>
      </c>
    </row>
    <row r="17">
      <c r="A17" s="9" t="inlineStr">
        <is>
          <t>3 Silver -&gt; Warehouse</t>
        </is>
      </c>
      <c r="B17" s="9" t="inlineStr">
        <is>
          <t>Lead Management</t>
        </is>
      </c>
      <c r="C17" s="9" t="inlineStr">
        <is>
          <t>fact_leads lead_ids not in silver file</t>
        </is>
      </c>
      <c r="D17" s="9" t="n">
        <v>0</v>
      </c>
      <c r="E17" s="9" t="n">
        <v>0</v>
      </c>
      <c r="F17" s="10" t="inlineStr">
        <is>
          <t>PASS</t>
        </is>
      </c>
    </row>
    <row r="18">
      <c r="A18" s="9" t="inlineStr">
        <is>
          <t>1 Raw -&gt; Bronze</t>
        </is>
      </c>
      <c r="B18" s="9" t="inlineStr">
        <is>
          <t>Opportunity Management</t>
        </is>
      </c>
      <c r="C18" s="9" t="inlineStr">
        <is>
          <t>Row count (03_opportunity_management.json vs opportunity_management_03)</t>
        </is>
      </c>
      <c r="D18" s="9" t="n">
        <v>2000</v>
      </c>
      <c r="E18" s="9" t="n">
        <v>2000</v>
      </c>
      <c r="F18" s="10" t="inlineStr">
        <is>
          <t>PASS</t>
        </is>
      </c>
    </row>
    <row r="19">
      <c r="A19" s="9" t="inlineStr">
        <is>
          <t>1 Raw -&gt; Bronze</t>
        </is>
      </c>
      <c r="B19" s="9" t="inlineStr">
        <is>
          <t>Opportunity Management</t>
        </is>
      </c>
      <c r="C19" s="9" t="inlineStr">
        <is>
          <t>Total of opportunity_value</t>
        </is>
      </c>
      <c r="D19" s="9" t="n">
        <v>317880822.37</v>
      </c>
      <c r="E19" s="9" t="n">
        <v>317880822.37</v>
      </c>
      <c r="F19" s="10" t="inlineStr">
        <is>
          <t>PASS</t>
        </is>
      </c>
    </row>
    <row r="20">
      <c r="A20" s="9" t="inlineStr">
        <is>
          <t>2 Raw -&gt; Silver</t>
        </is>
      </c>
      <c r="B20" s="9" t="inlineStr">
        <is>
          <t>Opportunity Management</t>
        </is>
      </c>
      <c r="C20" s="9" t="inlineStr">
        <is>
          <t>Rows removed by cleansing (duplicates)</t>
        </is>
      </c>
      <c r="D20" s="9" t="n">
        <v>2000</v>
      </c>
      <c r="E20" s="9" t="inlineStr">
        <is>
          <t>2000 kept, 0 removed</t>
        </is>
      </c>
      <c r="F20" s="11" t="inlineStr">
        <is>
          <t>INFO</t>
        </is>
      </c>
    </row>
    <row r="21">
      <c r="A21" s="9" t="inlineStr">
        <is>
          <t>3 Silver -&gt; Warehouse</t>
        </is>
      </c>
      <c r="B21" s="9" t="inlineStr">
        <is>
          <t>Opportunity Management</t>
        </is>
      </c>
      <c r="C21" s="9" t="inlineStr">
        <is>
          <t>Row count (opportunity_management_silver.csv vs fact_opportunities)</t>
        </is>
      </c>
      <c r="D21" s="9" t="n">
        <v>2000</v>
      </c>
      <c r="E21" s="9" t="n">
        <v>2000</v>
      </c>
      <c r="F21" s="10" t="inlineStr">
        <is>
          <t>PASS</t>
        </is>
      </c>
    </row>
    <row r="22">
      <c r="A22" s="9" t="inlineStr">
        <is>
          <t>3 Silver -&gt; Warehouse</t>
        </is>
      </c>
      <c r="B22" s="9" t="inlineStr">
        <is>
          <t>Opportunity Management</t>
        </is>
      </c>
      <c r="C22" s="9" t="inlineStr">
        <is>
          <t>Total of opportunity_value</t>
        </is>
      </c>
      <c r="D22" s="9" t="n">
        <v>317880822.37</v>
      </c>
      <c r="E22" s="9" t="n">
        <v>317880822.37</v>
      </c>
      <c r="F22" s="10" t="inlineStr">
        <is>
          <t>PASS</t>
        </is>
      </c>
    </row>
    <row r="23">
      <c r="A23" s="9" t="inlineStr">
        <is>
          <t>3 Silver -&gt; Warehouse</t>
        </is>
      </c>
      <c r="B23" s="9" t="inlineStr">
        <is>
          <t>Opportunity Management</t>
        </is>
      </c>
      <c r="C23" s="9" t="inlineStr">
        <is>
          <t>Silver opportunity_ids missing from fact_opportunities</t>
        </is>
      </c>
      <c r="D23" s="9" t="n">
        <v>0</v>
      </c>
      <c r="E23" s="9" t="n">
        <v>0</v>
      </c>
      <c r="F23" s="10" t="inlineStr">
        <is>
          <t>PASS</t>
        </is>
      </c>
    </row>
    <row r="24">
      <c r="A24" s="9" t="inlineStr">
        <is>
          <t>3 Silver -&gt; Warehouse</t>
        </is>
      </c>
      <c r="B24" s="9" t="inlineStr">
        <is>
          <t>Opportunity Management</t>
        </is>
      </c>
      <c r="C24" s="9" t="inlineStr">
        <is>
          <t>fact_opportunities opportunity_ids not in silver file</t>
        </is>
      </c>
      <c r="D24" s="9" t="n">
        <v>0</v>
      </c>
      <c r="E24" s="9" t="n">
        <v>0</v>
      </c>
      <c r="F24" s="10" t="inlineStr">
        <is>
          <t>PASS</t>
        </is>
      </c>
    </row>
    <row r="25">
      <c r="A25" s="9" t="inlineStr">
        <is>
          <t>1 Raw -&gt; Bronze</t>
        </is>
      </c>
      <c r="B25" s="9" t="inlineStr">
        <is>
          <t>Sales Pipeline</t>
        </is>
      </c>
      <c r="C25" s="9" t="inlineStr">
        <is>
          <t>Row count (04_sales_pipeline.xml vs sales_pipeline_04)</t>
        </is>
      </c>
      <c r="D25" s="9" t="n">
        <v>2000</v>
      </c>
      <c r="E25" s="9" t="n">
        <v>2000</v>
      </c>
      <c r="F25" s="10" t="inlineStr">
        <is>
          <t>PASS</t>
        </is>
      </c>
    </row>
    <row r="26">
      <c r="A26" s="9" t="inlineStr">
        <is>
          <t>1 Raw -&gt; Bronze</t>
        </is>
      </c>
      <c r="B26" s="9" t="inlineStr">
        <is>
          <t>Sales Pipeline</t>
        </is>
      </c>
      <c r="C26" s="9" t="inlineStr">
        <is>
          <t>Total of close_value</t>
        </is>
      </c>
      <c r="D26" s="9" t="n">
        <v>360921243.02</v>
      </c>
      <c r="E26" s="9" t="n">
        <v>360921243.02</v>
      </c>
      <c r="F26" s="10" t="inlineStr">
        <is>
          <t>PASS</t>
        </is>
      </c>
    </row>
    <row r="27">
      <c r="A27" s="9" t="inlineStr">
        <is>
          <t>2 Raw -&gt; Silver</t>
        </is>
      </c>
      <c r="B27" s="9" t="inlineStr">
        <is>
          <t>Sales Pipeline</t>
        </is>
      </c>
      <c r="C27" s="9" t="inlineStr">
        <is>
          <t>Rows removed by cleansing (duplicates)</t>
        </is>
      </c>
      <c r="D27" s="9" t="n">
        <v>2000</v>
      </c>
      <c r="E27" s="9" t="inlineStr">
        <is>
          <t>2000 kept, 0 removed</t>
        </is>
      </c>
      <c r="F27" s="11" t="inlineStr">
        <is>
          <t>INFO</t>
        </is>
      </c>
    </row>
    <row r="28">
      <c r="A28" s="9" t="inlineStr">
        <is>
          <t>3 Silver -&gt; Warehouse</t>
        </is>
      </c>
      <c r="B28" s="9" t="inlineStr">
        <is>
          <t>Sales Pipeline</t>
        </is>
      </c>
      <c r="C28" s="9" t="inlineStr">
        <is>
          <t>Row count (sales_pipeline_silver.csv vs fact_sales)</t>
        </is>
      </c>
      <c r="D28" s="9" t="n">
        <v>2000</v>
      </c>
      <c r="E28" s="9" t="n">
        <v>2000</v>
      </c>
      <c r="F28" s="10" t="inlineStr">
        <is>
          <t>PASS</t>
        </is>
      </c>
    </row>
    <row r="29">
      <c r="A29" s="9" t="inlineStr">
        <is>
          <t>3 Silver -&gt; Warehouse</t>
        </is>
      </c>
      <c r="B29" s="9" t="inlineStr">
        <is>
          <t>Sales Pipeline</t>
        </is>
      </c>
      <c r="C29" s="9" t="inlineStr">
        <is>
          <t>Total of close_value</t>
        </is>
      </c>
      <c r="D29" s="9" t="n">
        <v>360921243.02</v>
      </c>
      <c r="E29" s="9" t="n">
        <v>360921243.02</v>
      </c>
      <c r="F29" s="10" t="inlineStr">
        <is>
          <t>PASS</t>
        </is>
      </c>
    </row>
    <row r="30">
      <c r="A30" s="9" t="inlineStr">
        <is>
          <t>3 Silver -&gt; Warehouse</t>
        </is>
      </c>
      <c r="B30" s="9" t="inlineStr">
        <is>
          <t>Sales Pipeline</t>
        </is>
      </c>
      <c r="C30" s="9" t="inlineStr">
        <is>
          <t>Silver deal_ids missing from fact_sales</t>
        </is>
      </c>
      <c r="D30" s="9" t="n">
        <v>0</v>
      </c>
      <c r="E30" s="9" t="n">
        <v>0</v>
      </c>
      <c r="F30" s="10" t="inlineStr">
        <is>
          <t>PASS</t>
        </is>
      </c>
    </row>
    <row r="31">
      <c r="A31" s="9" t="inlineStr">
        <is>
          <t>3 Silver -&gt; Warehouse</t>
        </is>
      </c>
      <c r="B31" s="9" t="inlineStr">
        <is>
          <t>Sales Pipeline</t>
        </is>
      </c>
      <c r="C31" s="9" t="inlineStr">
        <is>
          <t>fact_sales deal_ids not in silver file</t>
        </is>
      </c>
      <c r="D31" s="9" t="n">
        <v>0</v>
      </c>
      <c r="E31" s="9" t="n">
        <v>0</v>
      </c>
      <c r="F31" s="10" t="inlineStr">
        <is>
          <t>PASS</t>
        </is>
      </c>
    </row>
    <row r="32">
      <c r="A32" s="9" t="inlineStr">
        <is>
          <t>1 Raw -&gt; Bronze</t>
        </is>
      </c>
      <c r="B32" s="9" t="inlineStr">
        <is>
          <t>Marketing Campaigns</t>
        </is>
      </c>
      <c r="C32" s="9" t="inlineStr">
        <is>
          <t>Row count (05_marketing_campaign.csv vs marketing_campaign_05)</t>
        </is>
      </c>
      <c r="D32" s="9" t="n">
        <v>2000</v>
      </c>
      <c r="E32" s="9" t="n">
        <v>2000</v>
      </c>
      <c r="F32" s="10" t="inlineStr">
        <is>
          <t>PASS</t>
        </is>
      </c>
    </row>
    <row r="33">
      <c r="A33" s="9" t="inlineStr">
        <is>
          <t>1 Raw -&gt; Bronze</t>
        </is>
      </c>
      <c r="B33" s="9" t="inlineStr">
        <is>
          <t>Marketing Campaigns</t>
        </is>
      </c>
      <c r="C33" s="9" t="inlineStr">
        <is>
          <t>Total of acquisition_cost</t>
        </is>
      </c>
      <c r="D33" s="9" t="n">
        <v>25790125.02</v>
      </c>
      <c r="E33" s="9" t="n">
        <v>25790125.02</v>
      </c>
      <c r="F33" s="10" t="inlineStr">
        <is>
          <t>PASS</t>
        </is>
      </c>
    </row>
    <row r="34">
      <c r="A34" s="9" t="inlineStr">
        <is>
          <t>1 Raw -&gt; Bronze</t>
        </is>
      </c>
      <c r="B34" s="9" t="inlineStr">
        <is>
          <t>Marketing Campaigns</t>
        </is>
      </c>
      <c r="C34" s="9" t="inlineStr">
        <is>
          <t>Total of roi</t>
        </is>
      </c>
      <c r="D34" s="9" t="n">
        <v>10377.74</v>
      </c>
      <c r="E34" s="9" t="n">
        <v>10377.74</v>
      </c>
      <c r="F34" s="10" t="inlineStr">
        <is>
          <t>PASS</t>
        </is>
      </c>
    </row>
    <row r="35">
      <c r="A35" s="9" t="inlineStr">
        <is>
          <t>2 Raw -&gt; Silver</t>
        </is>
      </c>
      <c r="B35" s="9" t="inlineStr">
        <is>
          <t>Marketing Campaigns</t>
        </is>
      </c>
      <c r="C35" s="9" t="inlineStr">
        <is>
          <t>Rows removed by cleansing (duplicates)</t>
        </is>
      </c>
      <c r="D35" s="9" t="n">
        <v>2000</v>
      </c>
      <c r="E35" s="9" t="inlineStr">
        <is>
          <t>2000 kept, 0 removed</t>
        </is>
      </c>
      <c r="F35" s="11" t="inlineStr">
        <is>
          <t>INFO</t>
        </is>
      </c>
    </row>
    <row r="36">
      <c r="A36" s="9" t="inlineStr">
        <is>
          <t>3 Silver -&gt; Warehouse</t>
        </is>
      </c>
      <c r="B36" s="9" t="inlineStr">
        <is>
          <t>Marketing Campaigns</t>
        </is>
      </c>
      <c r="C36" s="9" t="inlineStr">
        <is>
          <t>Row count (marketing_campaign_silver.csv vs dim_campaign)</t>
        </is>
      </c>
      <c r="D36" s="9" t="n">
        <v>2000</v>
      </c>
      <c r="E36" s="9" t="n">
        <v>2000</v>
      </c>
      <c r="F36" s="10" t="inlineStr">
        <is>
          <t>PASS</t>
        </is>
      </c>
    </row>
    <row r="37">
      <c r="A37" s="9" t="inlineStr">
        <is>
          <t>3 Silver -&gt; Warehouse</t>
        </is>
      </c>
      <c r="B37" s="9" t="inlineStr">
        <is>
          <t>Marketing Campaigns</t>
        </is>
      </c>
      <c r="C37" s="9" t="inlineStr">
        <is>
          <t>Total of acquisition_cost</t>
        </is>
      </c>
      <c r="D37" s="9" t="n">
        <v>25790125.02</v>
      </c>
      <c r="E37" s="9" t="n">
        <v>25790125.02</v>
      </c>
      <c r="F37" s="10" t="inlineStr">
        <is>
          <t>PASS</t>
        </is>
      </c>
    </row>
    <row r="38">
      <c r="A38" s="9" t="inlineStr">
        <is>
          <t>3 Silver -&gt; Warehouse</t>
        </is>
      </c>
      <c r="B38" s="9" t="inlineStr">
        <is>
          <t>Marketing Campaigns</t>
        </is>
      </c>
      <c r="C38" s="9" t="inlineStr">
        <is>
          <t>Total of roi</t>
        </is>
      </c>
      <c r="D38" s="9" t="n">
        <v>10377.74</v>
      </c>
      <c r="E38" s="9" t="n">
        <v>10377.74</v>
      </c>
      <c r="F38" s="10" t="inlineStr">
        <is>
          <t>PASS</t>
        </is>
      </c>
    </row>
    <row r="39">
      <c r="A39" s="9" t="inlineStr">
        <is>
          <t>3 Silver -&gt; Warehouse</t>
        </is>
      </c>
      <c r="B39" s="9" t="inlineStr">
        <is>
          <t>Marketing Campaigns</t>
        </is>
      </c>
      <c r="C39" s="9" t="inlineStr">
        <is>
          <t>Silver campaign_ids missing from dim_campaign</t>
        </is>
      </c>
      <c r="D39" s="9" t="n">
        <v>0</v>
      </c>
      <c r="E39" s="9" t="n">
        <v>0</v>
      </c>
      <c r="F39" s="10" t="inlineStr">
        <is>
          <t>PASS</t>
        </is>
      </c>
    </row>
    <row r="40">
      <c r="A40" s="9" t="inlineStr">
        <is>
          <t>3 Silver -&gt; Warehouse</t>
        </is>
      </c>
      <c r="B40" s="9" t="inlineStr">
        <is>
          <t>Marketing Campaigns</t>
        </is>
      </c>
      <c r="C40" s="9" t="inlineStr">
        <is>
          <t>dim_campaign campaign_ids not in silver file</t>
        </is>
      </c>
      <c r="D40" s="9" t="n">
        <v>0</v>
      </c>
      <c r="E40" s="9" t="n">
        <v>0</v>
      </c>
      <c r="F40" s="10" t="inlineStr">
        <is>
          <t>PASS</t>
        </is>
      </c>
    </row>
    <row r="41">
      <c r="A41" s="9" t="inlineStr">
        <is>
          <t>1 Raw -&gt; Bronze</t>
        </is>
      </c>
      <c r="B41" s="9" t="inlineStr">
        <is>
          <t>Customer Support</t>
        </is>
      </c>
      <c r="C41" s="9" t="inlineStr">
        <is>
          <t>Row count (06_customer_support_tickets.csv vs customer_support_tickets_06)</t>
        </is>
      </c>
      <c r="D41" s="9" t="n">
        <v>2000</v>
      </c>
      <c r="E41" s="9" t="n">
        <v>2000</v>
      </c>
      <c r="F41" s="10" t="inlineStr">
        <is>
          <t>PASS</t>
        </is>
      </c>
    </row>
    <row r="42">
      <c r="A42" s="9" t="inlineStr">
        <is>
          <t>1 Raw -&gt; Bronze</t>
        </is>
      </c>
      <c r="B42" s="9" t="inlineStr">
        <is>
          <t>Customer Support</t>
        </is>
      </c>
      <c r="C42" s="9" t="inlineStr">
        <is>
          <t>Total of resolution_hours</t>
        </is>
      </c>
      <c r="D42" s="9" t="n">
        <v>119883.87</v>
      </c>
      <c r="E42" s="9" t="n">
        <v>119883.87</v>
      </c>
      <c r="F42" s="10" t="inlineStr">
        <is>
          <t>PASS</t>
        </is>
      </c>
    </row>
    <row r="43">
      <c r="A43" s="9" t="inlineStr">
        <is>
          <t>2 Raw -&gt; Silver</t>
        </is>
      </c>
      <c r="B43" s="9" t="inlineStr">
        <is>
          <t>Customer Support</t>
        </is>
      </c>
      <c r="C43" s="9" t="inlineStr">
        <is>
          <t>Rows removed by cleansing (duplicates)</t>
        </is>
      </c>
      <c r="D43" s="9" t="n">
        <v>2000</v>
      </c>
      <c r="E43" s="9" t="inlineStr">
        <is>
          <t>2000 kept, 0 removed</t>
        </is>
      </c>
      <c r="F43" s="11" t="inlineStr">
        <is>
          <t>INFO</t>
        </is>
      </c>
    </row>
    <row r="44">
      <c r="A44" s="9" t="inlineStr">
        <is>
          <t>3 Silver -&gt; Warehouse</t>
        </is>
      </c>
      <c r="B44" s="9" t="inlineStr">
        <is>
          <t>Customer Support</t>
        </is>
      </c>
      <c r="C44" s="9" t="inlineStr">
        <is>
          <t>Row count (customer_support_tickets_silver.csv vs fact_support)</t>
        </is>
      </c>
      <c r="D44" s="9" t="n">
        <v>2000</v>
      </c>
      <c r="E44" s="9" t="n">
        <v>2000</v>
      </c>
      <c r="F44" s="10" t="inlineStr">
        <is>
          <t>PASS</t>
        </is>
      </c>
    </row>
    <row r="45">
      <c r="A45" s="9" t="inlineStr">
        <is>
          <t>3 Silver -&gt; Warehouse</t>
        </is>
      </c>
      <c r="B45" s="9" t="inlineStr">
        <is>
          <t>Customer Support</t>
        </is>
      </c>
      <c r="C45" s="9" t="inlineStr">
        <is>
          <t>Total of resolution_hours</t>
        </is>
      </c>
      <c r="D45" s="9" t="n">
        <v>119883.87</v>
      </c>
      <c r="E45" s="9" t="n">
        <v>119883.87</v>
      </c>
      <c r="F45" s="10" t="inlineStr">
        <is>
          <t>PASS</t>
        </is>
      </c>
    </row>
    <row r="46">
      <c r="A46" s="9" t="inlineStr">
        <is>
          <t>3 Silver -&gt; Warehouse</t>
        </is>
      </c>
      <c r="B46" s="9" t="inlineStr">
        <is>
          <t>Customer Support</t>
        </is>
      </c>
      <c r="C46" s="9" t="inlineStr">
        <is>
          <t>Silver ticket_ids missing from fact_support</t>
        </is>
      </c>
      <c r="D46" s="9" t="n">
        <v>0</v>
      </c>
      <c r="E46" s="9" t="n">
        <v>0</v>
      </c>
      <c r="F46" s="10" t="inlineStr">
        <is>
          <t>PASS</t>
        </is>
      </c>
    </row>
    <row r="47">
      <c r="A47" s="9" t="inlineStr">
        <is>
          <t>3 Silver -&gt; Warehouse</t>
        </is>
      </c>
      <c r="B47" s="9" t="inlineStr">
        <is>
          <t>Customer Support</t>
        </is>
      </c>
      <c r="C47" s="9" t="inlineStr">
        <is>
          <t>fact_support ticket_ids not in silver file</t>
        </is>
      </c>
      <c r="D47" s="9" t="n">
        <v>0</v>
      </c>
      <c r="E47" s="9" t="n">
        <v>0</v>
      </c>
      <c r="F47" s="10" t="inlineStr">
        <is>
          <t>PASS</t>
        </is>
      </c>
    </row>
    <row r="48">
      <c r="A48" s="9" t="inlineStr">
        <is>
          <t>1 Raw -&gt; Bronze</t>
        </is>
      </c>
      <c r="B48" s="9" t="inlineStr">
        <is>
          <t>Contact Center</t>
        </is>
      </c>
      <c r="C48" s="9" t="inlineStr">
        <is>
          <t>Row count (07_contact_center_logs.csv vs contact_center_logs_07)</t>
        </is>
      </c>
      <c r="D48" s="9" t="n">
        <v>2000</v>
      </c>
      <c r="E48" s="9" t="n">
        <v>2000</v>
      </c>
      <c r="F48" s="10" t="inlineStr">
        <is>
          <t>PASS</t>
        </is>
      </c>
    </row>
    <row r="49">
      <c r="A49" s="9" t="inlineStr">
        <is>
          <t>1 Raw -&gt; Bronze</t>
        </is>
      </c>
      <c r="B49" s="9" t="inlineStr">
        <is>
          <t>Contact Center</t>
        </is>
      </c>
      <c r="C49" s="9" t="inlineStr">
        <is>
          <t>Total of duration_minutes</t>
        </is>
      </c>
      <c r="D49" s="9" t="n">
        <v>61711</v>
      </c>
      <c r="E49" s="9" t="n">
        <v>61711</v>
      </c>
      <c r="F49" s="10" t="inlineStr">
        <is>
          <t>PASS</t>
        </is>
      </c>
    </row>
    <row r="50">
      <c r="A50" s="9" t="inlineStr">
        <is>
          <t>2 Raw -&gt; Silver</t>
        </is>
      </c>
      <c r="B50" s="9" t="inlineStr">
        <is>
          <t>Contact Center</t>
        </is>
      </c>
      <c r="C50" s="9" t="inlineStr">
        <is>
          <t>Rows removed by cleansing (duplicates)</t>
        </is>
      </c>
      <c r="D50" s="9" t="n">
        <v>2000</v>
      </c>
      <c r="E50" s="9" t="inlineStr">
        <is>
          <t>2000 kept, 0 removed</t>
        </is>
      </c>
      <c r="F50" s="11" t="inlineStr">
        <is>
          <t>INFO</t>
        </is>
      </c>
    </row>
    <row r="51">
      <c r="A51" s="9" t="inlineStr">
        <is>
          <t>3 Silver -&gt; Warehouse</t>
        </is>
      </c>
      <c r="B51" s="9" t="inlineStr">
        <is>
          <t>Contact Center</t>
        </is>
      </c>
      <c r="C51" s="9" t="inlineStr">
        <is>
          <t>Row count (contact_center_logs_silver.csv vs fact_contact_center)</t>
        </is>
      </c>
      <c r="D51" s="9" t="n">
        <v>2000</v>
      </c>
      <c r="E51" s="9" t="n">
        <v>2000</v>
      </c>
      <c r="F51" s="10" t="inlineStr">
        <is>
          <t>PASS</t>
        </is>
      </c>
    </row>
    <row r="52">
      <c r="A52" s="9" t="inlineStr">
        <is>
          <t>3 Silver -&gt; Warehouse</t>
        </is>
      </c>
      <c r="B52" s="9" t="inlineStr">
        <is>
          <t>Contact Center</t>
        </is>
      </c>
      <c r="C52" s="9" t="inlineStr">
        <is>
          <t>Total of duration_minutes</t>
        </is>
      </c>
      <c r="D52" s="9" t="n">
        <v>61711</v>
      </c>
      <c r="E52" s="9" t="n">
        <v>61711</v>
      </c>
      <c r="F52" s="10" t="inlineStr">
        <is>
          <t>PASS</t>
        </is>
      </c>
    </row>
    <row r="53">
      <c r="A53" s="9" t="inlineStr">
        <is>
          <t>3 Silver -&gt; Warehouse</t>
        </is>
      </c>
      <c r="B53" s="9" t="inlineStr">
        <is>
          <t>Contact Center</t>
        </is>
      </c>
      <c r="C53" s="9" t="inlineStr">
        <is>
          <t>Silver interaction_ids missing from fact_contact_center</t>
        </is>
      </c>
      <c r="D53" s="9" t="n">
        <v>0</v>
      </c>
      <c r="E53" s="9" t="n">
        <v>0</v>
      </c>
      <c r="F53" s="10" t="inlineStr">
        <is>
          <t>PASS</t>
        </is>
      </c>
    </row>
    <row r="54">
      <c r="A54" s="9" t="inlineStr">
        <is>
          <t>3 Silver -&gt; Warehouse</t>
        </is>
      </c>
      <c r="B54" s="9" t="inlineStr">
        <is>
          <t>Contact Center</t>
        </is>
      </c>
      <c r="C54" s="9" t="inlineStr">
        <is>
          <t>fact_contact_center interaction_ids not in silver file</t>
        </is>
      </c>
      <c r="D54" s="9" t="n">
        <v>0</v>
      </c>
      <c r="E54" s="9" t="n">
        <v>0</v>
      </c>
      <c r="F54" s="10" t="inlineStr">
        <is>
          <t>PASS</t>
        </is>
      </c>
    </row>
    <row r="55">
      <c r="A55" s="9" t="inlineStr">
        <is>
          <t>1 Raw -&gt; Bronze</t>
        </is>
      </c>
      <c r="B55" s="9" t="inlineStr">
        <is>
          <t>Website</t>
        </is>
      </c>
      <c r="C55" s="9" t="inlineStr">
        <is>
          <t>Row count (08_website_registration.csv vs website_registration_08)</t>
        </is>
      </c>
      <c r="D55" s="9" t="n">
        <v>2000</v>
      </c>
      <c r="E55" s="9" t="n">
        <v>2000</v>
      </c>
      <c r="F55" s="10" t="inlineStr">
        <is>
          <t>PASS</t>
        </is>
      </c>
    </row>
    <row r="56">
      <c r="A56" s="9" t="inlineStr">
        <is>
          <t>2 Raw -&gt; Silver</t>
        </is>
      </c>
      <c r="B56" s="9" t="inlineStr">
        <is>
          <t>Website</t>
        </is>
      </c>
      <c r="C56" s="9" t="inlineStr">
        <is>
          <t>Rows removed by cleansing (duplicates)</t>
        </is>
      </c>
      <c r="D56" s="9" t="n">
        <v>2000</v>
      </c>
      <c r="E56" s="9" t="inlineStr">
        <is>
          <t>2000 kept, 0 removed</t>
        </is>
      </c>
      <c r="F56" s="11" t="inlineStr">
        <is>
          <t>INFO</t>
        </is>
      </c>
    </row>
    <row r="57">
      <c r="A57" s="9" t="inlineStr">
        <is>
          <t>3 Silver -&gt; Warehouse</t>
        </is>
      </c>
      <c r="B57" s="9" t="inlineStr">
        <is>
          <t>Website</t>
        </is>
      </c>
      <c r="C57" s="9" t="inlineStr">
        <is>
          <t>Row count (website_registration_silver.csv vs fact_website)</t>
        </is>
      </c>
      <c r="D57" s="9" t="n">
        <v>2000</v>
      </c>
      <c r="E57" s="9" t="n">
        <v>2000</v>
      </c>
      <c r="F57" s="10" t="inlineStr">
        <is>
          <t>PASS</t>
        </is>
      </c>
    </row>
    <row r="58">
      <c r="A58" s="9" t="inlineStr">
        <is>
          <t>3 Silver -&gt; Warehouse</t>
        </is>
      </c>
      <c r="B58" s="9" t="inlineStr">
        <is>
          <t>Website</t>
        </is>
      </c>
      <c r="C58" s="9" t="inlineStr">
        <is>
          <t>Silver registration_ids missing from fact_website</t>
        </is>
      </c>
      <c r="D58" s="9" t="n">
        <v>0</v>
      </c>
      <c r="E58" s="9" t="n">
        <v>0</v>
      </c>
      <c r="F58" s="10" t="inlineStr">
        <is>
          <t>PASS</t>
        </is>
      </c>
    </row>
    <row r="59">
      <c r="A59" s="9" t="inlineStr">
        <is>
          <t>3 Silver -&gt; Warehouse</t>
        </is>
      </c>
      <c r="B59" s="9" t="inlineStr">
        <is>
          <t>Website</t>
        </is>
      </c>
      <c r="C59" s="9" t="inlineStr">
        <is>
          <t>fact_website registration_ids not in silver file</t>
        </is>
      </c>
      <c r="D59" s="9" t="n">
        <v>0</v>
      </c>
      <c r="E59" s="9" t="n">
        <v>0</v>
      </c>
      <c r="F59" s="10" t="inlineStr">
        <is>
          <t>PASS</t>
        </is>
      </c>
    </row>
    <row r="60">
      <c r="A60" s="9" t="inlineStr">
        <is>
          <t>1 Raw -&gt; Bronze</t>
        </is>
      </c>
      <c r="B60" s="9" t="inlineStr">
        <is>
          <t>Mobile App</t>
        </is>
      </c>
      <c r="C60" s="9" t="inlineStr">
        <is>
          <t>Row count (09_mobile_application.csv vs mobile_application_09)</t>
        </is>
      </c>
      <c r="D60" s="9" t="n">
        <v>2000</v>
      </c>
      <c r="E60" s="9" t="n">
        <v>2000</v>
      </c>
      <c r="F60" s="10" t="inlineStr">
        <is>
          <t>PASS</t>
        </is>
      </c>
    </row>
    <row r="61">
      <c r="A61" s="9" t="inlineStr">
        <is>
          <t>1 Raw -&gt; Bronze</t>
        </is>
      </c>
      <c r="B61" s="9" t="inlineStr">
        <is>
          <t>Mobile App</t>
        </is>
      </c>
      <c r="C61" s="9" t="inlineStr">
        <is>
          <t>Total of session_duration_minutes</t>
        </is>
      </c>
      <c r="D61" s="9" t="n">
        <v>120881</v>
      </c>
      <c r="E61" s="9" t="n">
        <v>120881</v>
      </c>
      <c r="F61" s="10" t="inlineStr">
        <is>
          <t>PASS</t>
        </is>
      </c>
    </row>
    <row r="62">
      <c r="A62" s="9" t="inlineStr">
        <is>
          <t>2 Raw -&gt; Silver</t>
        </is>
      </c>
      <c r="B62" s="9" t="inlineStr">
        <is>
          <t>Mobile App</t>
        </is>
      </c>
      <c r="C62" s="9" t="inlineStr">
        <is>
          <t>Rows removed by cleansing (duplicates)</t>
        </is>
      </c>
      <c r="D62" s="9" t="n">
        <v>2000</v>
      </c>
      <c r="E62" s="9" t="inlineStr">
        <is>
          <t>2000 kept, 0 removed</t>
        </is>
      </c>
      <c r="F62" s="11" t="inlineStr">
        <is>
          <t>INFO</t>
        </is>
      </c>
    </row>
    <row r="63">
      <c r="A63" s="9" t="inlineStr">
        <is>
          <t>3 Silver -&gt; Warehouse</t>
        </is>
      </c>
      <c r="B63" s="9" t="inlineStr">
        <is>
          <t>Mobile App</t>
        </is>
      </c>
      <c r="C63" s="9" t="inlineStr">
        <is>
          <t>Row count (mobile_application_silver.csv vs fact_mobile)</t>
        </is>
      </c>
      <c r="D63" s="9" t="n">
        <v>2000</v>
      </c>
      <c r="E63" s="9" t="n">
        <v>2000</v>
      </c>
      <c r="F63" s="10" t="inlineStr">
        <is>
          <t>PASS</t>
        </is>
      </c>
    </row>
    <row r="64">
      <c r="A64" s="9" t="inlineStr">
        <is>
          <t>3 Silver -&gt; Warehouse</t>
        </is>
      </c>
      <c r="B64" s="9" t="inlineStr">
        <is>
          <t>Mobile App</t>
        </is>
      </c>
      <c r="C64" s="9" t="inlineStr">
        <is>
          <t>Total of session_duration_minutes</t>
        </is>
      </c>
      <c r="D64" s="9" t="n">
        <v>120881</v>
      </c>
      <c r="E64" s="9" t="n">
        <v>120881</v>
      </c>
      <c r="F64" s="10" t="inlineStr">
        <is>
          <t>PASS</t>
        </is>
      </c>
    </row>
    <row r="65">
      <c r="A65" s="9" t="inlineStr">
        <is>
          <t>3 Silver -&gt; Warehouse</t>
        </is>
      </c>
      <c r="B65" s="9" t="inlineStr">
        <is>
          <t>Mobile App</t>
        </is>
      </c>
      <c r="C65" s="9" t="inlineStr">
        <is>
          <t>Silver app_event_ids missing from fact_mobile</t>
        </is>
      </c>
      <c r="D65" s="9" t="n">
        <v>0</v>
      </c>
      <c r="E65" s="9" t="n">
        <v>0</v>
      </c>
      <c r="F65" s="10" t="inlineStr">
        <is>
          <t>PASS</t>
        </is>
      </c>
    </row>
    <row r="66">
      <c r="A66" s="9" t="inlineStr">
        <is>
          <t>3 Silver -&gt; Warehouse</t>
        </is>
      </c>
      <c r="B66" s="9" t="inlineStr">
        <is>
          <t>Mobile App</t>
        </is>
      </c>
      <c r="C66" s="9" t="inlineStr">
        <is>
          <t>fact_mobile app_event_ids not in silver file</t>
        </is>
      </c>
      <c r="D66" s="9" t="n">
        <v>0</v>
      </c>
      <c r="E66" s="9" t="n">
        <v>0</v>
      </c>
      <c r="F66" s="10" t="inlineStr">
        <is>
          <t>PASS</t>
        </is>
      </c>
    </row>
    <row r="67">
      <c r="A67" s="9" t="inlineStr">
        <is>
          <t>1 Raw -&gt; Bronze</t>
        </is>
      </c>
      <c r="B67" s="9" t="inlineStr">
        <is>
          <t>Social Media</t>
        </is>
      </c>
      <c r="C67" s="9" t="inlineStr">
        <is>
          <t>Row count (10_social_media_engagement.csv vs social_media_engagement_10)</t>
        </is>
      </c>
      <c r="D67" s="9" t="n">
        <v>2000</v>
      </c>
      <c r="E67" s="9" t="n">
        <v>2000</v>
      </c>
      <c r="F67" s="10" t="inlineStr">
        <is>
          <t>PASS</t>
        </is>
      </c>
    </row>
    <row r="68">
      <c r="A68" s="9" t="inlineStr">
        <is>
          <t>1 Raw -&gt; Bronze</t>
        </is>
      </c>
      <c r="B68" s="9" t="inlineStr">
        <is>
          <t>Social Media</t>
        </is>
      </c>
      <c r="C68" s="9" t="inlineStr">
        <is>
          <t>Total of impressions</t>
        </is>
      </c>
      <c r="D68" s="9" t="n">
        <v>201183983</v>
      </c>
      <c r="E68" s="9" t="n">
        <v>201183983</v>
      </c>
      <c r="F68" s="10" t="inlineStr">
        <is>
          <t>PASS</t>
        </is>
      </c>
    </row>
    <row r="69">
      <c r="A69" s="9" t="inlineStr">
        <is>
          <t>1 Raw -&gt; Bronze</t>
        </is>
      </c>
      <c r="B69" s="9" t="inlineStr">
        <is>
          <t>Social Media</t>
        </is>
      </c>
      <c r="C69" s="9" t="inlineStr">
        <is>
          <t>Total of clicks</t>
        </is>
      </c>
      <c r="D69" s="9" t="n">
        <v>14720441</v>
      </c>
      <c r="E69" s="9" t="n">
        <v>14720441</v>
      </c>
      <c r="F69" s="10" t="inlineStr">
        <is>
          <t>PASS</t>
        </is>
      </c>
    </row>
    <row r="70">
      <c r="A70" s="9" t="inlineStr">
        <is>
          <t>2 Raw -&gt; Silver</t>
        </is>
      </c>
      <c r="B70" s="9" t="inlineStr">
        <is>
          <t>Social Media</t>
        </is>
      </c>
      <c r="C70" s="9" t="inlineStr">
        <is>
          <t>Rows removed by cleansing (duplicates)</t>
        </is>
      </c>
      <c r="D70" s="9" t="n">
        <v>2000</v>
      </c>
      <c r="E70" s="9" t="inlineStr">
        <is>
          <t>2000 kept, 0 removed</t>
        </is>
      </c>
      <c r="F70" s="11" t="inlineStr">
        <is>
          <t>INFO</t>
        </is>
      </c>
    </row>
    <row r="71">
      <c r="A71" s="9" t="inlineStr">
        <is>
          <t>3 Silver -&gt; Warehouse</t>
        </is>
      </c>
      <c r="B71" s="9" t="inlineStr">
        <is>
          <t>Social Media</t>
        </is>
      </c>
      <c r="C71" s="9" t="inlineStr">
        <is>
          <t>Row count (social_media_engagement_silver.csv vs fact_social_media)</t>
        </is>
      </c>
      <c r="D71" s="9" t="n">
        <v>2000</v>
      </c>
      <c r="E71" s="9" t="n">
        <v>2000</v>
      </c>
      <c r="F71" s="10" t="inlineStr">
        <is>
          <t>PASS</t>
        </is>
      </c>
    </row>
    <row r="72">
      <c r="A72" s="9" t="inlineStr">
        <is>
          <t>3 Silver -&gt; Warehouse</t>
        </is>
      </c>
      <c r="B72" s="9" t="inlineStr">
        <is>
          <t>Social Media</t>
        </is>
      </c>
      <c r="C72" s="9" t="inlineStr">
        <is>
          <t>Total of impressions</t>
        </is>
      </c>
      <c r="D72" s="9" t="n">
        <v>201183983</v>
      </c>
      <c r="E72" s="9" t="n">
        <v>201183983</v>
      </c>
      <c r="F72" s="10" t="inlineStr">
        <is>
          <t>PASS</t>
        </is>
      </c>
    </row>
    <row r="73">
      <c r="A73" s="9" t="inlineStr">
        <is>
          <t>3 Silver -&gt; Warehouse</t>
        </is>
      </c>
      <c r="B73" s="9" t="inlineStr">
        <is>
          <t>Social Media</t>
        </is>
      </c>
      <c r="C73" s="9" t="inlineStr">
        <is>
          <t>Total of clicks</t>
        </is>
      </c>
      <c r="D73" s="9" t="n">
        <v>14720441</v>
      </c>
      <c r="E73" s="9" t="n">
        <v>14720441</v>
      </c>
      <c r="F73" s="10" t="inlineStr">
        <is>
          <t>PASS</t>
        </is>
      </c>
    </row>
    <row r="74">
      <c r="A74" s="9" t="inlineStr">
        <is>
          <t>3 Silver -&gt; Warehouse</t>
        </is>
      </c>
      <c r="B74" s="9" t="inlineStr">
        <is>
          <t>Social Media</t>
        </is>
      </c>
      <c r="C74" s="9" t="inlineStr">
        <is>
          <t>Silver engagement_ids missing from fact_social_media</t>
        </is>
      </c>
      <c r="D74" s="9" t="n">
        <v>0</v>
      </c>
      <c r="E74" s="9" t="n">
        <v>0</v>
      </c>
      <c r="F74" s="10" t="inlineStr">
        <is>
          <t>PASS</t>
        </is>
      </c>
    </row>
    <row r="75">
      <c r="A75" s="9" t="inlineStr">
        <is>
          <t>3 Silver -&gt; Warehouse</t>
        </is>
      </c>
      <c r="B75" s="9" t="inlineStr">
        <is>
          <t>Social Media</t>
        </is>
      </c>
      <c r="C75" s="9" t="inlineStr">
        <is>
          <t>fact_social_media engagement_ids not in silver file</t>
        </is>
      </c>
      <c r="D75" s="9" t="n">
        <v>0</v>
      </c>
      <c r="E75" s="9" t="n">
        <v>0</v>
      </c>
      <c r="F75" s="10" t="inlineStr">
        <is>
          <t>PASS</t>
        </is>
      </c>
    </row>
    <row r="76">
      <c r="A76" s="9" t="inlineStr">
        <is>
          <t>3 Silver -&gt; Warehouse</t>
        </is>
      </c>
      <c r="B76" s="9" t="inlineStr">
        <is>
          <t>dim_product</t>
        </is>
      </c>
      <c r="C76" s="9" t="inlineStr">
        <is>
          <t>Distinct product values vs dim_product rows</t>
        </is>
      </c>
      <c r="D76" s="9" t="n">
        <v>6</v>
      </c>
      <c r="E76" s="9" t="n">
        <v>6</v>
      </c>
      <c r="F76" s="10" t="inlineStr">
        <is>
          <t>PASS</t>
        </is>
      </c>
    </row>
    <row r="77">
      <c r="A77" s="9" t="inlineStr">
        <is>
          <t>3 Silver -&gt; Warehouse</t>
        </is>
      </c>
      <c r="B77" s="9" t="inlineStr">
        <is>
          <t>dim_sales_agent</t>
        </is>
      </c>
      <c r="C77" s="9" t="inlineStr">
        <is>
          <t>Distinct sales_agent values vs dim_sales_agent rows</t>
        </is>
      </c>
      <c r="D77" s="9" t="n">
        <v>5</v>
      </c>
      <c r="E77" s="9" t="n">
        <v>5</v>
      </c>
      <c r="F77" s="10" t="inlineStr">
        <is>
          <t>PASS</t>
        </is>
      </c>
    </row>
    <row r="78">
      <c r="A78" s="9" t="inlineStr">
        <is>
          <t>3 Silver -&gt; Warehouse</t>
        </is>
      </c>
      <c r="B78" s="9" t="inlineStr">
        <is>
          <t>dim_date</t>
        </is>
      </c>
      <c r="C78" s="9" t="inlineStr">
        <is>
          <t>Calendar rows (2025-01-01 + 731 days)</t>
        </is>
      </c>
      <c r="D78" s="9" t="n">
        <v>731</v>
      </c>
      <c r="E78" s="9" t="n">
        <v>731</v>
      </c>
      <c r="F78" s="10" t="inlineStr">
        <is>
          <t>PASS</t>
        </is>
      </c>
    </row>
    <row r="79">
      <c r="A79" s="9" t="inlineStr">
        <is>
          <t>3 Silver -&gt; Warehouse</t>
        </is>
      </c>
      <c r="B79" s="9" t="inlineStr">
        <is>
          <t>dim_date</t>
        </is>
      </c>
      <c r="C79" s="9" t="inlineStr">
        <is>
          <t>Duplicate date_keys</t>
        </is>
      </c>
      <c r="D79" s="9" t="n">
        <v>0</v>
      </c>
      <c r="E79" s="9" t="n">
        <v>0</v>
      </c>
      <c r="F79" s="10" t="inlineStr">
        <is>
          <t>PASS</t>
        </is>
      </c>
    </row>
    <row r="80">
      <c r="A80" s="9" t="inlineStr">
        <is>
          <t>4 Key integrity</t>
        </is>
      </c>
      <c r="B80" s="9" t="inlineStr">
        <is>
          <t>fact_leads</t>
        </is>
      </c>
      <c r="C80" s="9" t="inlineStr">
        <is>
          <t>customer_key: empty</t>
        </is>
      </c>
      <c r="D80" s="9" t="n">
        <v>0</v>
      </c>
      <c r="E80" s="9" t="n">
        <v>0</v>
      </c>
      <c r="F80" s="10" t="inlineStr">
        <is>
          <t>PASS</t>
        </is>
      </c>
    </row>
    <row r="81">
      <c r="A81" s="9" t="inlineStr">
        <is>
          <t>4 Key integrity</t>
        </is>
      </c>
      <c r="B81" s="9" t="inlineStr">
        <is>
          <t>fact_leads</t>
        </is>
      </c>
      <c r="C81" s="9" t="inlineStr">
        <is>
          <t>customer_key: orphan (no match in dim_customer)</t>
        </is>
      </c>
      <c r="D81" s="9" t="n">
        <v>0</v>
      </c>
      <c r="E81" s="9" t="n">
        <v>0</v>
      </c>
      <c r="F81" s="10" t="inlineStr">
        <is>
          <t>PASS</t>
        </is>
      </c>
    </row>
    <row r="82">
      <c r="A82" s="9" t="inlineStr">
        <is>
          <t>4 Key integrity</t>
        </is>
      </c>
      <c r="B82" s="9" t="inlineStr">
        <is>
          <t>fact_leads</t>
        </is>
      </c>
      <c r="C82" s="9" t="inlineStr">
        <is>
          <t>sales_agent_key: empty</t>
        </is>
      </c>
      <c r="D82" s="9" t="n">
        <v>0</v>
      </c>
      <c r="E82" s="9" t="n">
        <v>0</v>
      </c>
      <c r="F82" s="10" t="inlineStr">
        <is>
          <t>PASS</t>
        </is>
      </c>
    </row>
    <row r="83">
      <c r="A83" s="9" t="inlineStr">
        <is>
          <t>4 Key integrity</t>
        </is>
      </c>
      <c r="B83" s="9" t="inlineStr">
        <is>
          <t>fact_leads</t>
        </is>
      </c>
      <c r="C83" s="9" t="inlineStr">
        <is>
          <t>sales_agent_key: orphan (no match in dim_sales_agent)</t>
        </is>
      </c>
      <c r="D83" s="9" t="n">
        <v>0</v>
      </c>
      <c r="E83" s="9" t="n">
        <v>0</v>
      </c>
      <c r="F83" s="10" t="inlineStr">
        <is>
          <t>PASS</t>
        </is>
      </c>
    </row>
    <row r="84">
      <c r="A84" s="9" t="inlineStr">
        <is>
          <t>4 Key integrity</t>
        </is>
      </c>
      <c r="B84" s="9" t="inlineStr">
        <is>
          <t>fact_leads</t>
        </is>
      </c>
      <c r="C84" s="9" t="inlineStr">
        <is>
          <t>date_key: empty</t>
        </is>
      </c>
      <c r="D84" s="9" t="n">
        <v>0</v>
      </c>
      <c r="E84" s="9" t="n">
        <v>0</v>
      </c>
      <c r="F84" s="10" t="inlineStr">
        <is>
          <t>PASS</t>
        </is>
      </c>
    </row>
    <row r="85">
      <c r="A85" s="9" t="inlineStr">
        <is>
          <t>4 Key integrity</t>
        </is>
      </c>
      <c r="B85" s="9" t="inlineStr">
        <is>
          <t>fact_leads</t>
        </is>
      </c>
      <c r="C85" s="9" t="inlineStr">
        <is>
          <t>date_key: orphan (no match in dim_date)</t>
        </is>
      </c>
      <c r="D85" s="9" t="n">
        <v>0</v>
      </c>
      <c r="E85" s="9" t="n">
        <v>0</v>
      </c>
      <c r="F85" s="10" t="inlineStr">
        <is>
          <t>PASS</t>
        </is>
      </c>
    </row>
    <row r="86">
      <c r="A86" s="9" t="inlineStr">
        <is>
          <t>4 Key integrity</t>
        </is>
      </c>
      <c r="B86" s="9" t="inlineStr">
        <is>
          <t>fact_opportunities</t>
        </is>
      </c>
      <c r="C86" s="9" t="inlineStr">
        <is>
          <t>customer_key: empty</t>
        </is>
      </c>
      <c r="D86" s="9" t="n">
        <v>0</v>
      </c>
      <c r="E86" s="9" t="n">
        <v>0</v>
      </c>
      <c r="F86" s="10" t="inlineStr">
        <is>
          <t>PASS</t>
        </is>
      </c>
    </row>
    <row r="87">
      <c r="A87" s="9" t="inlineStr">
        <is>
          <t>4 Key integrity</t>
        </is>
      </c>
      <c r="B87" s="9" t="inlineStr">
        <is>
          <t>fact_opportunities</t>
        </is>
      </c>
      <c r="C87" s="9" t="inlineStr">
        <is>
          <t>customer_key: orphan (no match in dim_customer)</t>
        </is>
      </c>
      <c r="D87" s="9" t="n">
        <v>0</v>
      </c>
      <c r="E87" s="9" t="n">
        <v>0</v>
      </c>
      <c r="F87" s="10" t="inlineStr">
        <is>
          <t>PASS</t>
        </is>
      </c>
    </row>
    <row r="88">
      <c r="A88" s="9" t="inlineStr">
        <is>
          <t>4 Key integrity</t>
        </is>
      </c>
      <c r="B88" s="9" t="inlineStr">
        <is>
          <t>fact_opportunities</t>
        </is>
      </c>
      <c r="C88" s="9" t="inlineStr">
        <is>
          <t>sales_agent_key: empty</t>
        </is>
      </c>
      <c r="D88" s="9" t="n">
        <v>0</v>
      </c>
      <c r="E88" s="9" t="n">
        <v>0</v>
      </c>
      <c r="F88" s="10" t="inlineStr">
        <is>
          <t>PASS</t>
        </is>
      </c>
    </row>
    <row r="89">
      <c r="A89" s="9" t="inlineStr">
        <is>
          <t>4 Key integrity</t>
        </is>
      </c>
      <c r="B89" s="9" t="inlineStr">
        <is>
          <t>fact_opportunities</t>
        </is>
      </c>
      <c r="C89" s="9" t="inlineStr">
        <is>
          <t>sales_agent_key: orphan (no match in dim_sales_agent)</t>
        </is>
      </c>
      <c r="D89" s="9" t="n">
        <v>0</v>
      </c>
      <c r="E89" s="9" t="n">
        <v>0</v>
      </c>
      <c r="F89" s="10" t="inlineStr">
        <is>
          <t>PASS</t>
        </is>
      </c>
    </row>
    <row r="90">
      <c r="A90" s="9" t="inlineStr">
        <is>
          <t>4 Key integrity</t>
        </is>
      </c>
      <c r="B90" s="9" t="inlineStr">
        <is>
          <t>fact_opportunities</t>
        </is>
      </c>
      <c r="C90" s="9" t="inlineStr">
        <is>
          <t>product_key: empty</t>
        </is>
      </c>
      <c r="D90" s="9" t="n">
        <v>0</v>
      </c>
      <c r="E90" s="9" t="n">
        <v>0</v>
      </c>
      <c r="F90" s="10" t="inlineStr">
        <is>
          <t>PASS</t>
        </is>
      </c>
    </row>
    <row r="91">
      <c r="A91" s="9" t="inlineStr">
        <is>
          <t>4 Key integrity</t>
        </is>
      </c>
      <c r="B91" s="9" t="inlineStr">
        <is>
          <t>fact_opportunities</t>
        </is>
      </c>
      <c r="C91" s="9" t="inlineStr">
        <is>
          <t>product_key: orphan (no match in dim_product)</t>
        </is>
      </c>
      <c r="D91" s="9" t="n">
        <v>0</v>
      </c>
      <c r="E91" s="9" t="n">
        <v>0</v>
      </c>
      <c r="F91" s="10" t="inlineStr">
        <is>
          <t>PASS</t>
        </is>
      </c>
    </row>
    <row r="92">
      <c r="A92" s="9" t="inlineStr">
        <is>
          <t>4 Key integrity</t>
        </is>
      </c>
      <c r="B92" s="9" t="inlineStr">
        <is>
          <t>fact_opportunities</t>
        </is>
      </c>
      <c r="C92" s="9" t="inlineStr">
        <is>
          <t>date_key: empty</t>
        </is>
      </c>
      <c r="D92" s="9" t="n">
        <v>0</v>
      </c>
      <c r="E92" s="9" t="n">
        <v>0</v>
      </c>
      <c r="F92" s="10" t="inlineStr">
        <is>
          <t>PASS</t>
        </is>
      </c>
    </row>
    <row r="93">
      <c r="A93" s="9" t="inlineStr">
        <is>
          <t>4 Key integrity</t>
        </is>
      </c>
      <c r="B93" s="9" t="inlineStr">
        <is>
          <t>fact_opportunities</t>
        </is>
      </c>
      <c r="C93" s="9" t="inlineStr">
        <is>
          <t>date_key: orphan (no match in dim_date)</t>
        </is>
      </c>
      <c r="D93" s="9" t="n">
        <v>0</v>
      </c>
      <c r="E93" s="9" t="n">
        <v>0</v>
      </c>
      <c r="F93" s="10" t="inlineStr">
        <is>
          <t>PASS</t>
        </is>
      </c>
    </row>
    <row r="94">
      <c r="A94" s="9" t="inlineStr">
        <is>
          <t>4 Key integrity</t>
        </is>
      </c>
      <c r="B94" s="9" t="inlineStr">
        <is>
          <t>fact_sales</t>
        </is>
      </c>
      <c r="C94" s="9" t="inlineStr">
        <is>
          <t>customer_key: empty</t>
        </is>
      </c>
      <c r="D94" s="9" t="n">
        <v>0</v>
      </c>
      <c r="E94" s="9" t="n">
        <v>0</v>
      </c>
      <c r="F94" s="10" t="inlineStr">
        <is>
          <t>PASS</t>
        </is>
      </c>
    </row>
    <row r="95">
      <c r="A95" s="9" t="inlineStr">
        <is>
          <t>4 Key integrity</t>
        </is>
      </c>
      <c r="B95" s="9" t="inlineStr">
        <is>
          <t>fact_sales</t>
        </is>
      </c>
      <c r="C95" s="9" t="inlineStr">
        <is>
          <t>customer_key: orphan (no match in dim_customer)</t>
        </is>
      </c>
      <c r="D95" s="9" t="n">
        <v>0</v>
      </c>
      <c r="E95" s="9" t="n">
        <v>0</v>
      </c>
      <c r="F95" s="10" t="inlineStr">
        <is>
          <t>PASS</t>
        </is>
      </c>
    </row>
    <row r="96">
      <c r="A96" s="9" t="inlineStr">
        <is>
          <t>4 Key integrity</t>
        </is>
      </c>
      <c r="B96" s="9" t="inlineStr">
        <is>
          <t>fact_sales</t>
        </is>
      </c>
      <c r="C96" s="9" t="inlineStr">
        <is>
          <t>sales_agent_key: empty</t>
        </is>
      </c>
      <c r="D96" s="9" t="n">
        <v>0</v>
      </c>
      <c r="E96" s="9" t="n">
        <v>0</v>
      </c>
      <c r="F96" s="10" t="inlineStr">
        <is>
          <t>PASS</t>
        </is>
      </c>
    </row>
    <row r="97">
      <c r="A97" s="9" t="inlineStr">
        <is>
          <t>4 Key integrity</t>
        </is>
      </c>
      <c r="B97" s="9" t="inlineStr">
        <is>
          <t>fact_sales</t>
        </is>
      </c>
      <c r="C97" s="9" t="inlineStr">
        <is>
          <t>sales_agent_key: orphan (no match in dim_sales_agent)</t>
        </is>
      </c>
      <c r="D97" s="9" t="n">
        <v>0</v>
      </c>
      <c r="E97" s="9" t="n">
        <v>0</v>
      </c>
      <c r="F97" s="10" t="inlineStr">
        <is>
          <t>PASS</t>
        </is>
      </c>
    </row>
    <row r="98">
      <c r="A98" s="9" t="inlineStr">
        <is>
          <t>4 Key integrity</t>
        </is>
      </c>
      <c r="B98" s="9" t="inlineStr">
        <is>
          <t>fact_sales</t>
        </is>
      </c>
      <c r="C98" s="9" t="inlineStr">
        <is>
          <t>product_key: empty</t>
        </is>
      </c>
      <c r="D98" s="9" t="n">
        <v>0</v>
      </c>
      <c r="E98" s="9" t="n">
        <v>0</v>
      </c>
      <c r="F98" s="10" t="inlineStr">
        <is>
          <t>PASS</t>
        </is>
      </c>
    </row>
    <row r="99">
      <c r="A99" s="9" t="inlineStr">
        <is>
          <t>4 Key integrity</t>
        </is>
      </c>
      <c r="B99" s="9" t="inlineStr">
        <is>
          <t>fact_sales</t>
        </is>
      </c>
      <c r="C99" s="9" t="inlineStr">
        <is>
          <t>product_key: orphan (no match in dim_product)</t>
        </is>
      </c>
      <c r="D99" s="9" t="n">
        <v>0</v>
      </c>
      <c r="E99" s="9" t="n">
        <v>0</v>
      </c>
      <c r="F99" s="10" t="inlineStr">
        <is>
          <t>PASS</t>
        </is>
      </c>
    </row>
    <row r="100">
      <c r="A100" s="9" t="inlineStr">
        <is>
          <t>4 Key integrity</t>
        </is>
      </c>
      <c r="B100" s="9" t="inlineStr">
        <is>
          <t>fact_sales</t>
        </is>
      </c>
      <c r="C100" s="9" t="inlineStr">
        <is>
          <t>date_key: empty</t>
        </is>
      </c>
      <c r="D100" s="9" t="n">
        <v>0</v>
      </c>
      <c r="E100" s="9" t="n">
        <v>0</v>
      </c>
      <c r="F100" s="10" t="inlineStr">
        <is>
          <t>PASS</t>
        </is>
      </c>
    </row>
    <row r="101">
      <c r="A101" s="9" t="inlineStr">
        <is>
          <t>4 Key integrity</t>
        </is>
      </c>
      <c r="B101" s="9" t="inlineStr">
        <is>
          <t>fact_sales</t>
        </is>
      </c>
      <c r="C101" s="9" t="inlineStr">
        <is>
          <t>date_key: orphan (no match in dim_date)</t>
        </is>
      </c>
      <c r="D101" s="9" t="n">
        <v>0</v>
      </c>
      <c r="E101" s="9" t="n">
        <v>0</v>
      </c>
      <c r="F101" s="10" t="inlineStr">
        <is>
          <t>PASS</t>
        </is>
      </c>
    </row>
    <row r="102">
      <c r="A102" s="9" t="inlineStr">
        <is>
          <t>4 Key integrity</t>
        </is>
      </c>
      <c r="B102" s="9" t="inlineStr">
        <is>
          <t>fact_support</t>
        </is>
      </c>
      <c r="C102" s="9" t="inlineStr">
        <is>
          <t>customer_key: empty</t>
        </is>
      </c>
      <c r="D102" s="9" t="n">
        <v>0</v>
      </c>
      <c r="E102" s="9" t="n">
        <v>0</v>
      </c>
      <c r="F102" s="10" t="inlineStr">
        <is>
          <t>PASS</t>
        </is>
      </c>
    </row>
    <row r="103">
      <c r="A103" s="9" t="inlineStr">
        <is>
          <t>4 Key integrity</t>
        </is>
      </c>
      <c r="B103" s="9" t="inlineStr">
        <is>
          <t>fact_support</t>
        </is>
      </c>
      <c r="C103" s="9" t="inlineStr">
        <is>
          <t>customer_key: orphan (no match in dim_customer)</t>
        </is>
      </c>
      <c r="D103" s="9" t="n">
        <v>0</v>
      </c>
      <c r="E103" s="9" t="n">
        <v>0</v>
      </c>
      <c r="F103" s="10" t="inlineStr">
        <is>
          <t>PASS</t>
        </is>
      </c>
    </row>
    <row r="104">
      <c r="A104" s="9" t="inlineStr">
        <is>
          <t>4 Key integrity</t>
        </is>
      </c>
      <c r="B104" s="9" t="inlineStr">
        <is>
          <t>fact_contact_center</t>
        </is>
      </c>
      <c r="C104" s="9" t="inlineStr">
        <is>
          <t>customer_key: empty</t>
        </is>
      </c>
      <c r="D104" s="9" t="n">
        <v>0</v>
      </c>
      <c r="E104" s="9" t="n">
        <v>0</v>
      </c>
      <c r="F104" s="10" t="inlineStr">
        <is>
          <t>PASS</t>
        </is>
      </c>
    </row>
    <row r="105">
      <c r="A105" s="9" t="inlineStr">
        <is>
          <t>4 Key integrity</t>
        </is>
      </c>
      <c r="B105" s="9" t="inlineStr">
        <is>
          <t>fact_contact_center</t>
        </is>
      </c>
      <c r="C105" s="9" t="inlineStr">
        <is>
          <t>customer_key: orphan (no match in dim_customer)</t>
        </is>
      </c>
      <c r="D105" s="9" t="n">
        <v>0</v>
      </c>
      <c r="E105" s="9" t="n">
        <v>0</v>
      </c>
      <c r="F105" s="10" t="inlineStr">
        <is>
          <t>PASS</t>
        </is>
      </c>
    </row>
    <row r="106">
      <c r="A106" s="9" t="inlineStr">
        <is>
          <t>4 Key integrity</t>
        </is>
      </c>
      <c r="B106" s="9" t="inlineStr">
        <is>
          <t>fact_contact_center</t>
        </is>
      </c>
      <c r="C106" s="9" t="inlineStr">
        <is>
          <t>date_key: empty</t>
        </is>
      </c>
      <c r="D106" s="9" t="n">
        <v>0</v>
      </c>
      <c r="E106" s="9" t="n">
        <v>0</v>
      </c>
      <c r="F106" s="10" t="inlineStr">
        <is>
          <t>PASS</t>
        </is>
      </c>
    </row>
    <row r="107">
      <c r="A107" s="9" t="inlineStr">
        <is>
          <t>4 Key integrity</t>
        </is>
      </c>
      <c r="B107" s="9" t="inlineStr">
        <is>
          <t>fact_contact_center</t>
        </is>
      </c>
      <c r="C107" s="9" t="inlineStr">
        <is>
          <t>date_key: orphan (no match in dim_date)</t>
        </is>
      </c>
      <c r="D107" s="9" t="n">
        <v>0</v>
      </c>
      <c r="E107" s="9" t="n">
        <v>0</v>
      </c>
      <c r="F107" s="10" t="inlineStr">
        <is>
          <t>PASS</t>
        </is>
      </c>
    </row>
    <row r="108">
      <c r="A108" s="9" t="inlineStr">
        <is>
          <t>4 Key integrity</t>
        </is>
      </c>
      <c r="B108" s="9" t="inlineStr">
        <is>
          <t>fact_website</t>
        </is>
      </c>
      <c r="C108" s="9" t="inlineStr">
        <is>
          <t>customer_key: empty</t>
        </is>
      </c>
      <c r="D108" s="9" t="n">
        <v>0</v>
      </c>
      <c r="E108" s="9" t="n">
        <v>0</v>
      </c>
      <c r="F108" s="10" t="inlineStr">
        <is>
          <t>PASS</t>
        </is>
      </c>
    </row>
    <row r="109">
      <c r="A109" s="9" t="inlineStr">
        <is>
          <t>4 Key integrity</t>
        </is>
      </c>
      <c r="B109" s="9" t="inlineStr">
        <is>
          <t>fact_website</t>
        </is>
      </c>
      <c r="C109" s="9" t="inlineStr">
        <is>
          <t>customer_key: orphan (no match in dim_customer)</t>
        </is>
      </c>
      <c r="D109" s="9" t="n">
        <v>0</v>
      </c>
      <c r="E109" s="9" t="n">
        <v>0</v>
      </c>
      <c r="F109" s="10" t="inlineStr">
        <is>
          <t>PASS</t>
        </is>
      </c>
    </row>
    <row r="110">
      <c r="A110" s="9" t="inlineStr">
        <is>
          <t>4 Key integrity</t>
        </is>
      </c>
      <c r="B110" s="9" t="inlineStr">
        <is>
          <t>fact_website</t>
        </is>
      </c>
      <c r="C110" s="9" t="inlineStr">
        <is>
          <t>date_key: empty</t>
        </is>
      </c>
      <c r="D110" s="9" t="n">
        <v>0</v>
      </c>
      <c r="E110" s="9" t="n">
        <v>0</v>
      </c>
      <c r="F110" s="10" t="inlineStr">
        <is>
          <t>PASS</t>
        </is>
      </c>
    </row>
    <row r="111">
      <c r="A111" s="9" t="inlineStr">
        <is>
          <t>4 Key integrity</t>
        </is>
      </c>
      <c r="B111" s="9" t="inlineStr">
        <is>
          <t>fact_website</t>
        </is>
      </c>
      <c r="C111" s="9" t="inlineStr">
        <is>
          <t>date_key: orphan (no match in dim_date)</t>
        </is>
      </c>
      <c r="D111" s="9" t="n">
        <v>0</v>
      </c>
      <c r="E111" s="9" t="n">
        <v>0</v>
      </c>
      <c r="F111" s="10" t="inlineStr">
        <is>
          <t>PASS</t>
        </is>
      </c>
    </row>
    <row r="112">
      <c r="A112" s="9" t="inlineStr">
        <is>
          <t>4 Key integrity</t>
        </is>
      </c>
      <c r="B112" s="9" t="inlineStr">
        <is>
          <t>fact_mobile</t>
        </is>
      </c>
      <c r="C112" s="9" t="inlineStr">
        <is>
          <t>customer_key: empty</t>
        </is>
      </c>
      <c r="D112" s="9" t="n">
        <v>0</v>
      </c>
      <c r="E112" s="9" t="n">
        <v>0</v>
      </c>
      <c r="F112" s="10" t="inlineStr">
        <is>
          <t>PASS</t>
        </is>
      </c>
    </row>
    <row r="113">
      <c r="A113" s="9" t="inlineStr">
        <is>
          <t>4 Key integrity</t>
        </is>
      </c>
      <c r="B113" s="9" t="inlineStr">
        <is>
          <t>fact_mobile</t>
        </is>
      </c>
      <c r="C113" s="9" t="inlineStr">
        <is>
          <t>customer_key: orphan (no match in dim_customer)</t>
        </is>
      </c>
      <c r="D113" s="9" t="n">
        <v>0</v>
      </c>
      <c r="E113" s="9" t="n">
        <v>0</v>
      </c>
      <c r="F113" s="10" t="inlineStr">
        <is>
          <t>PASS</t>
        </is>
      </c>
    </row>
    <row r="114">
      <c r="A114" s="9" t="inlineStr">
        <is>
          <t>4 Key integrity</t>
        </is>
      </c>
      <c r="B114" s="9" t="inlineStr">
        <is>
          <t>fact_mobile</t>
        </is>
      </c>
      <c r="C114" s="9" t="inlineStr">
        <is>
          <t>date_key: empty</t>
        </is>
      </c>
      <c r="D114" s="9" t="n">
        <v>0</v>
      </c>
      <c r="E114" s="9" t="n">
        <v>0</v>
      </c>
      <c r="F114" s="10" t="inlineStr">
        <is>
          <t>PASS</t>
        </is>
      </c>
    </row>
    <row r="115">
      <c r="A115" s="9" t="inlineStr">
        <is>
          <t>4 Key integrity</t>
        </is>
      </c>
      <c r="B115" s="9" t="inlineStr">
        <is>
          <t>fact_mobile</t>
        </is>
      </c>
      <c r="C115" s="9" t="inlineStr">
        <is>
          <t>date_key: orphan (no match in dim_date)</t>
        </is>
      </c>
      <c r="D115" s="9" t="n">
        <v>0</v>
      </c>
      <c r="E115" s="9" t="n">
        <v>0</v>
      </c>
      <c r="F115" s="10" t="inlineStr">
        <is>
          <t>PASS</t>
        </is>
      </c>
    </row>
    <row r="116">
      <c r="A116" s="9" t="inlineStr">
        <is>
          <t>4 Key integrity</t>
        </is>
      </c>
      <c r="B116" s="9" t="inlineStr">
        <is>
          <t>fact_social_media</t>
        </is>
      </c>
      <c r="C116" s="9" t="inlineStr">
        <is>
          <t>customer_key: empty</t>
        </is>
      </c>
      <c r="D116" s="9" t="n">
        <v>0</v>
      </c>
      <c r="E116" s="9" t="n">
        <v>0</v>
      </c>
      <c r="F116" s="10" t="inlineStr">
        <is>
          <t>PASS</t>
        </is>
      </c>
    </row>
    <row r="117">
      <c r="A117" s="9" t="inlineStr">
        <is>
          <t>4 Key integrity</t>
        </is>
      </c>
      <c r="B117" s="9" t="inlineStr">
        <is>
          <t>fact_social_media</t>
        </is>
      </c>
      <c r="C117" s="9" t="inlineStr">
        <is>
          <t>customer_key: orphan (no match in dim_customer)</t>
        </is>
      </c>
      <c r="D117" s="9" t="n">
        <v>0</v>
      </c>
      <c r="E117" s="9" t="n">
        <v>0</v>
      </c>
      <c r="F117" s="10" t="inlineStr">
        <is>
          <t>PASS</t>
        </is>
      </c>
    </row>
    <row r="118">
      <c r="A118" s="9" t="inlineStr">
        <is>
          <t>4 Key integrity</t>
        </is>
      </c>
      <c r="B118" s="9" t="inlineStr">
        <is>
          <t>fact_social_media</t>
        </is>
      </c>
      <c r="C118" s="9" t="inlineStr">
        <is>
          <t>campaign_key: empty</t>
        </is>
      </c>
      <c r="D118" s="9" t="n">
        <v>0</v>
      </c>
      <c r="E118" s="9" t="n">
        <v>0</v>
      </c>
      <c r="F118" s="10" t="inlineStr">
        <is>
          <t>PASS</t>
        </is>
      </c>
    </row>
    <row r="119">
      <c r="A119" s="9" t="inlineStr">
        <is>
          <t>4 Key integrity</t>
        </is>
      </c>
      <c r="B119" s="9" t="inlineStr">
        <is>
          <t>fact_social_media</t>
        </is>
      </c>
      <c r="C119" s="9" t="inlineStr">
        <is>
          <t>campaign_key: orphan (no match in dim_campaign)</t>
        </is>
      </c>
      <c r="D119" s="9" t="n">
        <v>0</v>
      </c>
      <c r="E119" s="9" t="n">
        <v>0</v>
      </c>
      <c r="F119" s="10" t="inlineStr">
        <is>
          <t>PASS</t>
        </is>
      </c>
    </row>
    <row r="120">
      <c r="A120" s="9" t="inlineStr">
        <is>
          <t>4 Key integrity</t>
        </is>
      </c>
      <c r="B120" s="9" t="inlineStr">
        <is>
          <t>fact_social_media</t>
        </is>
      </c>
      <c r="C120" s="9" t="inlineStr">
        <is>
          <t>date_key: empty</t>
        </is>
      </c>
      <c r="D120" s="9" t="n">
        <v>0</v>
      </c>
      <c r="E120" s="9" t="n">
        <v>0</v>
      </c>
      <c r="F120" s="10" t="inlineStr">
        <is>
          <t>PASS</t>
        </is>
      </c>
    </row>
    <row r="121">
      <c r="A121" s="9" t="inlineStr">
        <is>
          <t>4 Key integrity</t>
        </is>
      </c>
      <c r="B121" s="9" t="inlineStr">
        <is>
          <t>fact_social_media</t>
        </is>
      </c>
      <c r="C121" s="9" t="inlineStr">
        <is>
          <t>date_key: orphan (no match in dim_date)</t>
        </is>
      </c>
      <c r="D121" s="9" t="n">
        <v>0</v>
      </c>
      <c r="E121" s="9" t="n">
        <v>0</v>
      </c>
      <c r="F121" s="10" t="inlineStr">
        <is>
          <t>PASS</t>
        </is>
      </c>
    </row>
    <row r="122">
      <c r="A122" s="9" t="inlineStr">
        <is>
          <t>4 Key integrity</t>
        </is>
      </c>
      <c r="B122" s="9" t="inlineStr">
        <is>
          <t>fact_support</t>
        </is>
      </c>
      <c r="C122" s="9" t="inlineStr">
        <is>
          <t>date_key: empty (expected - source has no date)</t>
        </is>
      </c>
      <c r="D122" s="9" t="inlineStr">
        <is>
          <t>2000 (all)</t>
        </is>
      </c>
      <c r="E122" s="9" t="inlineStr">
        <is>
          <t>2000 empty</t>
        </is>
      </c>
      <c r="F122" s="11" t="inlineStr">
        <is>
          <t>INFO</t>
        </is>
      </c>
    </row>
  </sheetData>
  <autoFilter ref="A1:F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2026-10-09T18:36:54Z</dcterms:created>
  <dcterms:modified xmlns:dcterms="http://purl.org/dc/terms/" xmlns:xsi="http://www.w3.org/2001/XMLSchema-instance" xsi:type="dcterms:W3CDTF">2026-10-09T18:36:54Z</dcterms:modified>
</cp:coreProperties>
</file>