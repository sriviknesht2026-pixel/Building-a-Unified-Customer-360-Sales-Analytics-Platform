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Glossary" sheetId="2" state="visible" r:id="rId4"/>
    <sheet name="KPIs" sheetId="3" state="visible" r:id="rId5"/>
    <sheet name="Data_Quality_Notes" sheetId="4" state="visible" r:id="rId6"/>
  </sheets>
  <definedNames>
    <definedName function="false" hidden="true" localSheetId="3" name="_xlnm._FilterDatabase" vbProcedure="false">Data_Quality_Notes!$A$1:$G$7</definedName>
    <definedName function="false" hidden="true" localSheetId="1" name="_xlnm._FilterDatabase" vbProcedure="false">Glossary!$A$1:$I$59</definedName>
    <definedName function="false" hidden="true" localSheetId="2" name="_xlnm._FilterDatabase" vbProcedure="false">KPIs!$A$1:$H$25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<sst xmlns="http://schemas.openxmlformats.org/spreadsheetml/2006/main" count="772" uniqueCount="464">
  <si>
    <t xml:space="preserve">ECRMDP - CRM Business Glossary (UC16, Sprint 3)</t>
  </si>
  <si>
    <t xml:space="preserve">Purpose</t>
  </si>
  <si>
    <t xml:space="preserve">One agreed meaning for every business term, metric and platform concept used in ECRMDP reports and dashboards.</t>
  </si>
  <si>
    <t xml:space="preserve">Built from</t>
  </si>
  <si>
    <t xml:space="preserve">The actual data in datasets/*_silver.csv and the warehouse schema (sql/Silver.sql), checked at repo commit 3001bf2; stakeholders from docs/BRD Document.docx.</t>
  </si>
  <si>
    <t xml:space="preserve">Business owners</t>
  </si>
  <si>
    <t xml:space="preserve">From the BRD stakeholder analysis: Sales Manager, Marketing Head, Support Lead, Executives. Assigning each term to an owner is our mapping of the BRD's stated interests - please confirm with the team.</t>
  </si>
  <si>
    <t xml:space="preserve">Definition basis</t>
  </si>
  <si>
    <t xml:space="preserve">Verified from data = values/formula checked against the data.  Source attribute = taken as delivered by the source; meaning not documented.  Project convention = defined by this project.  Industry definition = standard data-warehousing meaning.</t>
  </si>
  <si>
    <t xml:space="preserve">Units to watch</t>
  </si>
  <si>
    <t xml:space="preserve">Win probability is a PERCENTAGE (0-100). Conversion rate and engagement rate are FRACTIONS (0-1). Multiply fractions by 100 before showing them as %.</t>
  </si>
  <si>
    <t xml:space="preserve">Sheets</t>
  </si>
  <si>
    <t xml:space="preserve">Glossary (business and platform terms) · KPIs (24 metrics with tested SQL) · Data_Quality_Notes (issues found while building this glossary)</t>
  </si>
  <si>
    <t xml:space="preserve">Terms per owner (live)</t>
  </si>
  <si>
    <t xml:space="preserve">Sales Manager</t>
  </si>
  <si>
    <t xml:space="preserve">Marketing Head</t>
  </si>
  <si>
    <t xml:space="preserve">Support Lead</t>
  </si>
  <si>
    <t xml:space="preserve">Executives</t>
  </si>
  <si>
    <t xml:space="preserve">Data team</t>
  </si>
  <si>
    <t xml:space="preserve">Total terms</t>
  </si>
  <si>
    <t xml:space="preserve">Term</t>
  </si>
  <si>
    <t xml:space="preserve">Category</t>
  </si>
  <si>
    <t xml:space="preserve">Business definition</t>
  </si>
  <si>
    <t xml:space="preserve">Unit / calculation</t>
  </si>
  <si>
    <t xml:space="preserve">Valid values or range (from data)</t>
  </si>
  <si>
    <t xml:space="preserve">Warehouse location</t>
  </si>
  <si>
    <t xml:space="preserve">Source system</t>
  </si>
  <si>
    <t xml:space="preserve">Business owner</t>
  </si>
  <si>
    <t xml:space="preserve">Customer</t>
  </si>
  <si>
    <t xml:space="preserve">A person or organisation registered in the Customer Master; the central entity of Customer 360. Identified by customer_id.</t>
  </si>
  <si>
    <t xml:space="preserve">1 row per customer</t>
  </si>
  <si>
    <t xml:space="preserve">2,000 customers (CUST00001 ...)</t>
  </si>
  <si>
    <t xml:space="preserve">dim_customer</t>
  </si>
  <si>
    <t xml:space="preserve">Customer Master</t>
  </si>
  <si>
    <t xml:space="preserve">Verified from data</t>
  </si>
  <si>
    <t xml:space="preserve">Customer ID</t>
  </si>
  <si>
    <t xml:space="preserve">Business key that identifies a customer across every source system; used to link all facts to dim_customer.</t>
  </si>
  <si>
    <t xml:space="preserve">Text, e.g. CUST00001</t>
  </si>
  <si>
    <t xml:space="preserve">2,000 unique values</t>
  </si>
  <si>
    <t xml:space="preserve">dim_customer.customer_id</t>
  </si>
  <si>
    <t xml:space="preserve">Customer status</t>
  </si>
  <si>
    <t xml:space="preserve">Whether the customer relationship is currently active.</t>
  </si>
  <si>
    <t xml:space="preserve">Active, Inactive</t>
  </si>
  <si>
    <t xml:space="preserve">dim_customer.customer_status</t>
  </si>
  <si>
    <t xml:space="preserve">Customer segment attributes</t>
  </si>
  <si>
    <t xml:space="preserve">Demographic attributes used to segment customers: gender, age, education, marital status, income, country, city.</t>
  </si>
  <si>
    <t xml:space="preserve">Age in years; income in source currency (currency not stated in source)</t>
  </si>
  <si>
    <t xml:space="preserve">Age 18-69; income 25,093-249,991; gender Female/Male/Other; education Graduate/High School/PhD/Postgraduate; marital status Divorced/Married/Single</t>
  </si>
  <si>
    <t xml:space="preserve">Registration date</t>
  </si>
  <si>
    <t xml:space="preserve">Date the customer was registered in the Customer Master.</t>
  </si>
  <si>
    <t xml:space="preserve">Date</t>
  </si>
  <si>
    <t xml:space="preserve">2025-01-01 to 2026-08-19</t>
  </si>
  <si>
    <t xml:space="preserve">dim_customer.registration_date</t>
  </si>
  <si>
    <t xml:space="preserve">Customer 360</t>
  </si>
  <si>
    <t xml:space="preserve">A single, unified view of a customer that combines their profile with every interaction across sales, marketing, support, contact center, website, mobile and social media, joined on customer_key.</t>
  </si>
  <si>
    <t xml:space="preserve">View across all 8 facts</t>
  </si>
  <si>
    <t xml:space="preserve">See KPI K03</t>
  </si>
  <si>
    <t xml:space="preserve">dim_customer + all fact_* tables</t>
  </si>
  <si>
    <t xml:space="preserve">All</t>
  </si>
  <si>
    <t xml:space="preserve">Project convention</t>
  </si>
  <si>
    <t xml:space="preserve">Lead</t>
  </si>
  <si>
    <t xml:space="preserve">Sales</t>
  </si>
  <si>
    <t xml:space="preserve">A potential sale: a customer showing interest, captured with a source, status and score.</t>
  </si>
  <si>
    <t xml:space="preserve">1 row per lead</t>
  </si>
  <si>
    <t xml:space="preserve">2,000 leads</t>
  </si>
  <si>
    <t xml:space="preserve">fact_leads</t>
  </si>
  <si>
    <t xml:space="preserve">Lead Management</t>
  </si>
  <si>
    <t xml:space="preserve">Lead source</t>
  </si>
  <si>
    <t xml:space="preserve">The channel through which the lead was generated.</t>
  </si>
  <si>
    <t xml:space="preserve">Advertisement, Email, Event, Referral, Social Media, Website</t>
  </si>
  <si>
    <t xml:space="preserve">fact_leads.lead_source</t>
  </si>
  <si>
    <t xml:space="preserve">Lead status</t>
  </si>
  <si>
    <t xml:space="preserve">Stage of the lead in the qualification process.</t>
  </si>
  <si>
    <t xml:space="preserve">New, Contacted, Qualified, Converted, Lost</t>
  </si>
  <si>
    <t xml:space="preserve">fact_leads.lead_status</t>
  </si>
  <si>
    <t xml:space="preserve">Lead score</t>
  </si>
  <si>
    <t xml:space="preserve">Qualification score assigned to a lead; higher means more likely to buy.</t>
  </si>
  <si>
    <t xml:space="preserve">Score 1-100</t>
  </si>
  <si>
    <t xml:space="preserve">1-100 (missing values filled with the median during cleansing)</t>
  </si>
  <si>
    <t xml:space="preserve">fact_leads.lead_score</t>
  </si>
  <si>
    <t xml:space="preserve">Sales agent</t>
  </si>
  <si>
    <t xml:space="preserve">The salesperson responsible for a lead, opportunity or deal.</t>
  </si>
  <si>
    <t xml:space="preserve">Agent A, Agent B, Agent C, Agent D, Agent E</t>
  </si>
  <si>
    <t xml:space="preserve">dim_sales_agent.sales_agent</t>
  </si>
  <si>
    <t xml:space="preserve">Lead / Opportunity / Sales Pipeline</t>
  </si>
  <si>
    <t xml:space="preserve">Opportunity</t>
  </si>
  <si>
    <t xml:space="preserve">A qualified lead that has become a potential deal with an estimated value, stage and probability.</t>
  </si>
  <si>
    <t xml:space="preserve">1 row per opportunity</t>
  </si>
  <si>
    <t xml:space="preserve">2,000 opportunities</t>
  </si>
  <si>
    <t xml:space="preserve">fact_opportunities</t>
  </si>
  <si>
    <t xml:space="preserve">Opportunity Management</t>
  </si>
  <si>
    <t xml:space="preserve">Opportunity stage</t>
  </si>
  <si>
    <t xml:space="preserve">Position of an opportunity in the sales process.</t>
  </si>
  <si>
    <t xml:space="preserve">Prospecting, Qualification, Proposal, Negotiation, Won, Lost</t>
  </si>
  <si>
    <t xml:space="preserve">fact_opportunities.opportunity_stage</t>
  </si>
  <si>
    <t xml:space="preserve">Opportunity value</t>
  </si>
  <si>
    <t xml:space="preserve">Estimated monetary value of an opportunity.</t>
  </si>
  <si>
    <t xml:space="preserve">Currency (not stated in source)</t>
  </si>
  <si>
    <t xml:space="preserve">10,031.55-299,982.04</t>
  </si>
  <si>
    <t xml:space="preserve">fact_opportunities.opportunity_value</t>
  </si>
  <si>
    <t xml:space="preserve">Win probability</t>
  </si>
  <si>
    <t xml:space="preserve">Likelihood that an opportunity will be Won.</t>
  </si>
  <si>
    <t xml:space="preserve">PERCENTAGE 0-100 (not a fraction)</t>
  </si>
  <si>
    <t xml:space="preserve">5-100</t>
  </si>
  <si>
    <t xml:space="preserve">fact_opportunities.probability</t>
  </si>
  <si>
    <t xml:space="preserve">Open pipeline</t>
  </si>
  <si>
    <t xml:space="preserve">Opportunities that are not yet Won or Lost.</t>
  </si>
  <si>
    <t xml:space="preserve">Stage NOT IN (Won, Lost)</t>
  </si>
  <si>
    <t xml:space="preserve">See KPI K06/K07</t>
  </si>
  <si>
    <t xml:space="preserve">Product</t>
  </si>
  <si>
    <t xml:space="preserve">Product or service being sold, supported or purchased.</t>
  </si>
  <si>
    <t xml:space="preserve">AI Platform, Analytics Suite, CRM License, Cloud Subscription, Laptop, Support Package</t>
  </si>
  <si>
    <t xml:space="preserve">dim_product.product_name</t>
  </si>
  <si>
    <t xml:space="preserve">Opportunity Management / Sales Pipeline / Support</t>
  </si>
  <si>
    <t xml:space="preserve">Deal</t>
  </si>
  <si>
    <t xml:space="preserve">An entry in the sales pipeline linked to an opportunity, with engagement and close dates and a close value.</t>
  </si>
  <si>
    <t xml:space="preserve">1 row per deal</t>
  </si>
  <si>
    <t xml:space="preserve">2,000 deals</t>
  </si>
  <si>
    <t xml:space="preserve">fact_sales</t>
  </si>
  <si>
    <t xml:space="preserve">Sales Pipeline</t>
  </si>
  <si>
    <t xml:space="preserve">Deal stage</t>
  </si>
  <si>
    <t xml:space="preserve">Position of a deal in the pipeline; Won and Lost are closed stages.</t>
  </si>
  <si>
    <t xml:space="preserve">fact_sales.deal_stage</t>
  </si>
  <si>
    <t xml:space="preserve">Engage date</t>
  </si>
  <si>
    <t xml:space="preserve">Date sales engagement with the customer started; used as the deal's date_key.</t>
  </si>
  <si>
    <t xml:space="preserve">No close date earlier than its engage date (checked)</t>
  </si>
  <si>
    <t xml:space="preserve">fact_sales.engage_date</t>
  </si>
  <si>
    <t xml:space="preserve">Close date</t>
  </si>
  <si>
    <t xml:space="preserve">Date the deal was (or is expected to be) closed.</t>
  </si>
  <si>
    <t xml:space="preserve">fact_sales.close_date</t>
  </si>
  <si>
    <t xml:space="preserve">Source attribute</t>
  </si>
  <si>
    <t xml:space="preserve">Close value</t>
  </si>
  <si>
    <t xml:space="preserve">Monetary value of the deal at close.</t>
  </si>
  <si>
    <t xml:space="preserve">10,089.08-349,798.92</t>
  </si>
  <si>
    <t xml:space="preserve">fact_sales.close_value</t>
  </si>
  <si>
    <t xml:space="preserve">Sales cycle</t>
  </si>
  <si>
    <t xml:space="preserve">Number of days from engagement to close for a Won deal.</t>
  </si>
  <si>
    <t xml:space="preserve">close_date - engage_date, in days</t>
  </si>
  <si>
    <t xml:space="preserve">See KPI K11</t>
  </si>
  <si>
    <t xml:space="preserve">Campaign</t>
  </si>
  <si>
    <t xml:space="preserve">Marketing</t>
  </si>
  <si>
    <t xml:space="preserve">A marketing initiative run by a company through a channel for a target audience over a set duration.</t>
  </si>
  <si>
    <t xml:space="preserve">1 row per campaign</t>
  </si>
  <si>
    <t xml:space="preserve">2,000 campaigns</t>
  </si>
  <si>
    <t xml:space="preserve">dim_campaign</t>
  </si>
  <si>
    <t xml:space="preserve">Marketing Campaigns</t>
  </si>
  <si>
    <t xml:space="preserve">Campaign type</t>
  </si>
  <si>
    <t xml:space="preserve">Kind of marketing activity.</t>
  </si>
  <si>
    <t xml:space="preserve">Display, Email, Influencer, Search, Social Media</t>
  </si>
  <si>
    <t xml:space="preserve">dim_campaign.campaign_type</t>
  </si>
  <si>
    <t xml:space="preserve">Channel used</t>
  </si>
  <si>
    <t xml:space="preserve">Platform the campaign ran on.</t>
  </si>
  <si>
    <t xml:space="preserve">Email, Facebook, Google, Instagram, LinkedIn, YouTube</t>
  </si>
  <si>
    <t xml:space="preserve">dim_campaign.channel_used</t>
  </si>
  <si>
    <t xml:space="preserve">Target audience</t>
  </si>
  <si>
    <t xml:space="preserve">Age band the campaign was aimed at.</t>
  </si>
  <si>
    <t xml:space="preserve">Category (years)</t>
  </si>
  <si>
    <t xml:space="preserve">18-25, 26-35, 36-45, 46-60</t>
  </si>
  <si>
    <t xml:space="preserve">dim_campaign.target_audience</t>
  </si>
  <si>
    <t xml:space="preserve">Campaign duration</t>
  </si>
  <si>
    <t xml:space="preserve">Length of the campaign.</t>
  </si>
  <si>
    <t xml:space="preserve">Days</t>
  </si>
  <si>
    <t xml:space="preserve">5-90</t>
  </si>
  <si>
    <t xml:space="preserve">dim_campaign.duration_days</t>
  </si>
  <si>
    <t xml:space="preserve">Conversion rate</t>
  </si>
  <si>
    <t xml:space="preserve">Share of the campaign audience that converted, as reported by the source.</t>
  </si>
  <si>
    <t xml:space="preserve">FRACTION 0-1 (0.184 = 18.4%)</t>
  </si>
  <si>
    <t xml:space="preserve">0.0102-0.35</t>
  </si>
  <si>
    <t xml:space="preserve">dim_campaign.conversion_rate</t>
  </si>
  <si>
    <t xml:space="preserve">Acquisition cost</t>
  </si>
  <si>
    <t xml:space="preserve">Cost of acquiring customers through the campaign, as reported by the source.</t>
  </si>
  <si>
    <t xml:space="preserve">514.10-24,967.73</t>
  </si>
  <si>
    <t xml:space="preserve">dim_campaign.acquisition_cost</t>
  </si>
  <si>
    <t xml:space="preserve">ROI</t>
  </si>
  <si>
    <t xml:space="preserve">Return on investment of the campaign, as reported by the source. The source does not state the formula; the 0.51-9.99 range suggests a multiple of spend (interpretation).</t>
  </si>
  <si>
    <t xml:space="preserve">Ratio (formula not stated in source)</t>
  </si>
  <si>
    <t xml:space="preserve">0.51-9.99</t>
  </si>
  <si>
    <t xml:space="preserve">dim_campaign.roi</t>
  </si>
  <si>
    <t xml:space="preserve">Social engagement</t>
  </si>
  <si>
    <t xml:space="preserve">A social media post linked to a campaign and a customer, with its reach and interactions.</t>
  </si>
  <si>
    <t xml:space="preserve">1 row per post engagement</t>
  </si>
  <si>
    <t xml:space="preserve">2,000 records</t>
  </si>
  <si>
    <t xml:space="preserve">fact_social_media</t>
  </si>
  <si>
    <t xml:space="preserve">Social Media</t>
  </si>
  <si>
    <t xml:space="preserve">Impressions</t>
  </si>
  <si>
    <t xml:space="preserve">Number of times a social post was displayed.</t>
  </si>
  <si>
    <t xml:space="preserve">Count</t>
  </si>
  <si>
    <t xml:space="preserve">1,366-199,989</t>
  </si>
  <si>
    <t xml:space="preserve">fact_social_media.impressions</t>
  </si>
  <si>
    <t xml:space="preserve">Clicks / likes / comments / shares</t>
  </si>
  <si>
    <t xml:space="preserve">Interactions with a social post.</t>
  </si>
  <si>
    <t xml:space="preserve">Counts</t>
  </si>
  <si>
    <t xml:space="preserve">Clicks 26-14,999; likes 12-11,978; comments 5-2,998; shares 0-4,996</t>
  </si>
  <si>
    <t xml:space="preserve">Engagement rate</t>
  </si>
  <si>
    <t xml:space="preserve">Interactions per impression, capped at 50% by the source.</t>
  </si>
  <si>
    <t xml:space="preserve">MIN(0.5, (likes + comments + shares + clicks) / impressions), FRACTION 0-1</t>
  </si>
  <si>
    <t xml:space="preserve">0.0251-0.5; formula reproduces the source value on 2,000 of 2,000 rows</t>
  </si>
  <si>
    <t xml:space="preserve">fact_social_media.engagement_rate</t>
  </si>
  <si>
    <t xml:space="preserve">Platform / post type</t>
  </si>
  <si>
    <t xml:space="preserve">Social network and format of the post.</t>
  </si>
  <si>
    <t xml:space="preserve">Platform: Facebook, Instagram, LinkedIn, X, YouTube; post type: Image, Reel, Story, Text, Video</t>
  </si>
  <si>
    <t xml:space="preserve">fact_social_media.platform, post_type</t>
  </si>
  <si>
    <t xml:space="preserve">Support ticket</t>
  </si>
  <si>
    <t xml:space="preserve">Service</t>
  </si>
  <si>
    <t xml:space="preserve">A customer request or issue logged with the support team.</t>
  </si>
  <si>
    <t xml:space="preserve">1 row per ticket</t>
  </si>
  <si>
    <t xml:space="preserve">2,000 tickets</t>
  </si>
  <si>
    <t xml:space="preserve">fact_support</t>
  </si>
  <si>
    <t xml:space="preserve">Customer Support</t>
  </si>
  <si>
    <t xml:space="preserve">Ticket type / priority / status</t>
  </si>
  <si>
    <t xml:space="preserve">Classification, urgency and progress of a ticket.</t>
  </si>
  <si>
    <t xml:space="preserve">Type: Account Access, Billing, Feature Request, Product Question, Technical Issue; priority: Critical, High, Medium, Low; status: Open, In Progress, Resolved, Closed</t>
  </si>
  <si>
    <t xml:space="preserve">First response time</t>
  </si>
  <si>
    <t xml:space="preserve">Time from ticket creation to the first reply.</t>
  </si>
  <si>
    <t xml:space="preserve">Minutes</t>
  </si>
  <si>
    <t xml:space="preserve">2-599</t>
  </si>
  <si>
    <t xml:space="preserve">fact_support.first_response_minutes</t>
  </si>
  <si>
    <t xml:space="preserve">Resolution time</t>
  </si>
  <si>
    <t xml:space="preserve">Time taken to resolve the ticket.</t>
  </si>
  <si>
    <t xml:space="preserve">Hours</t>
  </si>
  <si>
    <t xml:space="preserve">0.62-119.91</t>
  </si>
  <si>
    <t xml:space="preserve">fact_support.resolution_hours</t>
  </si>
  <si>
    <t xml:space="preserve">CSAT (customer satisfaction)</t>
  </si>
  <si>
    <t xml:space="preserve">Customer's rating of the support or contact-center experience.</t>
  </si>
  <si>
    <t xml:space="preserve">Score 1-5</t>
  </si>
  <si>
    <t xml:space="preserve">1-5</t>
  </si>
  <si>
    <t xml:space="preserve">fact_support.customer_satisfaction_rating; fact_contact_center.satisfaction_score</t>
  </si>
  <si>
    <t xml:space="preserve">Customer Support / Contact Center</t>
  </si>
  <si>
    <t xml:space="preserve">Contact-center interaction</t>
  </si>
  <si>
    <t xml:space="preserve">A single call, chat or email between a customer and a contact-center agent.</t>
  </si>
  <si>
    <t xml:space="preserve">1 row per interaction</t>
  </si>
  <si>
    <t xml:space="preserve">2,000 interactions</t>
  </si>
  <si>
    <t xml:space="preserve">fact_contact_center</t>
  </si>
  <si>
    <t xml:space="preserve">Contact Center</t>
  </si>
  <si>
    <t xml:space="preserve">Interaction channel / reason / outcome</t>
  </si>
  <si>
    <t xml:space="preserve">How the customer made contact, why, and the result.</t>
  </si>
  <si>
    <t xml:space="preserve">Channel: Chat, Email, Phone; reason: Billing, Cancellation, Complaint, Product Query, Technical Support; outcome: Resolved, Escalated, Follow-up Required, No Response</t>
  </si>
  <si>
    <t xml:space="preserve">Contact-center agent</t>
  </si>
  <si>
    <t xml:space="preserve">Agent who handled the interaction (different from sales agent).</t>
  </si>
  <si>
    <t xml:space="preserve">Code</t>
  </si>
  <si>
    <t xml:space="preserve">AG001-AG010</t>
  </si>
  <si>
    <t xml:space="preserve">fact_contact_center.agent_id</t>
  </si>
  <si>
    <t xml:space="preserve">Handling time</t>
  </si>
  <si>
    <t xml:space="preserve">Length of a contact-center interaction.</t>
  </si>
  <si>
    <t xml:space="preserve">1-60</t>
  </si>
  <si>
    <t xml:space="preserve">fact_contact_center.duration_minutes</t>
  </si>
  <si>
    <t xml:space="preserve">Website registration</t>
  </si>
  <si>
    <t xml:space="preserve">Digital</t>
  </si>
  <si>
    <t xml:space="preserve">A customer sign-up on the website, with source, device and browser.</t>
  </si>
  <si>
    <t xml:space="preserve">1 row per registration</t>
  </si>
  <si>
    <t xml:space="preserve">2,000 registrations; source: Advertisement, Direct, Organic Search, Referral, Social Media; device: Desktop, Mobile, Tablet</t>
  </si>
  <si>
    <t xml:space="preserve">fact_website</t>
  </si>
  <si>
    <t xml:space="preserve">Website</t>
  </si>
  <si>
    <t xml:space="preserve">App event</t>
  </si>
  <si>
    <t xml:space="preserve">A tracked action in the mobile app.</t>
  </si>
  <si>
    <t xml:space="preserve">1 row per event</t>
  </si>
  <si>
    <t xml:space="preserve">Add to Cart, Login, Logout, Purchase, Search, View Product</t>
  </si>
  <si>
    <t xml:space="preserve">fact_mobile.event_type</t>
  </si>
  <si>
    <t xml:space="preserve">Mobile Application</t>
  </si>
  <si>
    <t xml:space="preserve">Session duration</t>
  </si>
  <si>
    <t xml:space="preserve">Length of the app session in which the event happened.</t>
  </si>
  <si>
    <t xml:space="preserve">1-120</t>
  </si>
  <si>
    <t xml:space="preserve">fact_mobile.session_duration_minutes</t>
  </si>
  <si>
    <t xml:space="preserve">App source</t>
  </si>
  <si>
    <t xml:space="preserve">Where the customer obtained or opened the app.</t>
  </si>
  <si>
    <t xml:space="preserve">App Store, Play Store, QR Campaign, Website</t>
  </si>
  <si>
    <t xml:space="preserve">fact_mobile.app_source</t>
  </si>
  <si>
    <t xml:space="preserve">Bronze layer</t>
  </si>
  <si>
    <t xml:space="preserve">Platform</t>
  </si>
  <si>
    <t xml:space="preserve">Raw source data loaded unchanged into PostgreSQL staging tables (*_01 ... *_10).</t>
  </si>
  <si>
    <t xml:space="preserve">Layer</t>
  </si>
  <si>
    <t xml:space="preserve">10 tables</t>
  </si>
  <si>
    <t xml:space="preserve">customer_master_01 ... social_media_engagement_10</t>
  </si>
  <si>
    <t xml:space="preserve">Silver layer</t>
  </si>
  <si>
    <t xml:space="preserve">Cleansed copies of the sources: duplicates removed, text standardised, dates parsed, missing values filled.</t>
  </si>
  <si>
    <t xml:space="preserve">10 *_silver.csv files</t>
  </si>
  <si>
    <t xml:space="preserve">datasets/*_silver.csv</t>
  </si>
  <si>
    <t xml:space="preserve">Gold layer / star schema</t>
  </si>
  <si>
    <t xml:space="preserve">Analytics-ready warehouse of dimensions (who, what, when) and facts (events and measures).</t>
  </si>
  <si>
    <t xml:space="preserve">5 dimensions, 8 facts</t>
  </si>
  <si>
    <t xml:space="preserve">dim_*, fact_*</t>
  </si>
  <si>
    <t xml:space="preserve">Dimension</t>
  </si>
  <si>
    <t xml:space="preserve">Descriptive table (customer, product, sales agent, campaign, date) that facts are filtered and grouped by.</t>
  </si>
  <si>
    <t xml:space="preserve">Table type</t>
  </si>
  <si>
    <t xml:space="preserve">dim_customer, dim_product, dim_sales_agent, dim_campaign, dim_date</t>
  </si>
  <si>
    <t xml:space="preserve">-</t>
  </si>
  <si>
    <t xml:space="preserve">Industry definition</t>
  </si>
  <si>
    <t xml:space="preserve">Fact</t>
  </si>
  <si>
    <t xml:space="preserve">Table of business events with measures and keys to dimensions.</t>
  </si>
  <si>
    <t xml:space="preserve">fact_leads ... fact_social_media</t>
  </si>
  <si>
    <t xml:space="preserve">Surrogate key</t>
  </si>
  <si>
    <t xml:space="preserve">System-generated integer key (e.g. customer_key) used to join facts to dimensions instead of the business ID.</t>
  </si>
  <si>
    <t xml:space="preserve">Integer</t>
  </si>
  <si>
    <t xml:space="preserve">*_key columns</t>
  </si>
  <si>
    <t xml:space="preserve">Date key</t>
  </si>
  <si>
    <t xml:space="preserve">Integer key for a calendar day in the form YYYYMMDD (e.g. 20250101).</t>
  </si>
  <si>
    <t xml:space="preserve">year*10000 + month*100 + day</t>
  </si>
  <si>
    <t xml:space="preserve">2025-01-01 to 2027-01-01 (731 days)</t>
  </si>
  <si>
    <t xml:space="preserve">dim_date.date_key</t>
  </si>
  <si>
    <t xml:space="preserve">Generated</t>
  </si>
  <si>
    <t xml:space="preserve">Data lineage</t>
  </si>
  <si>
    <t xml:space="preserve">Record of where each data item comes from and how it is transformed on its way to the warehouse.</t>
  </si>
  <si>
    <t xml:space="preserve">Document</t>
  </si>
  <si>
    <t xml:space="preserve">lineage/Data_Lineage.md</t>
  </si>
  <si>
    <t xml:space="preserve">Reconciliation</t>
  </si>
  <si>
    <t xml:space="preserve">Comparison of row counts, totals and IDs between layers to prove no data was lost or changed.</t>
  </si>
  <si>
    <t xml:space="preserve">Report</t>
  </si>
  <si>
    <t xml:space="preserve">121 checks</t>
  </si>
  <si>
    <t xml:space="preserve">python/reconciliation.py, docs/ECRMDP_Validation_Report.xlsx</t>
  </si>
  <si>
    <t xml:space="preserve">ID</t>
  </si>
  <si>
    <t xml:space="preserve">KPI</t>
  </si>
  <si>
    <t xml:space="preserve">Area</t>
  </si>
  <si>
    <t xml:space="preserve">Business question</t>
  </si>
  <si>
    <t xml:space="preserve">Unit</t>
  </si>
  <si>
    <t xml:space="preserve">SQL (tested on the star schema)</t>
  </si>
  <si>
    <t xml:space="preserve">Reference value*</t>
  </si>
  <si>
    <t xml:space="preserve">K01</t>
  </si>
  <si>
    <t xml:space="preserve">Total customers</t>
  </si>
  <si>
    <t xml:space="preserve">How many customers are in the unified customer base?</t>
  </si>
  <si>
    <t xml:space="preserve">count</t>
  </si>
  <si>
    <t xml:space="preserve">SELECT COUNT(*) FROM dim_customer</t>
  </si>
  <si>
    <t xml:space="preserve">K02</t>
  </si>
  <si>
    <t xml:space="preserve">Active customer rate</t>
  </si>
  <si>
    <t xml:space="preserve">What share of customers is currently active?</t>
  </si>
  <si>
    <t xml:space="preserve">%</t>
  </si>
  <si>
    <t xml:space="preserve">SELECT ROUND(100.0*SUM(CASE WHEN customer_status='Active' THEN 1 ELSE 0 END)/COUNT(*),2) FROM dim_customer</t>
  </si>
  <si>
    <t xml:space="preserve">K03</t>
  </si>
  <si>
    <t xml:space="preserve">Customer 360 coverage</t>
  </si>
  <si>
    <t xml:space="preserve">What share of customers appears in at least one interaction fact (lead, sale, ticket, call, web, app, social)?</t>
  </si>
  <si>
    <t xml:space="preserve">SELECT ROUND(100.0*COUNT(*)/(SELECT COUNT(*) FROM dim_customer),2) FROM (  SELECT customer_key FROM fact_leads UNION SELECT customer_key FROM fact_sales UNION SELECT customer_key FROM fact_support  UNION SELECT customer_key FROM fact_contact_center UNION SELECT customer_key FROM fact_website  UNION SELECT customer_key FROM fact_mobile UNION SELECT customer_key FROM fact_social_media) c</t>
  </si>
  <si>
    <t xml:space="preserve">K04</t>
  </si>
  <si>
    <t xml:space="preserve">Lead conversion rate</t>
  </si>
  <si>
    <t xml:space="preserve">What share of leads reach status Converted?</t>
  </si>
  <si>
    <t xml:space="preserve">SELECT ROUND(100.0*SUM(CASE WHEN lead_status='Converted' THEN 1 ELSE 0 END)/COUNT(*),2) FROM fact_leads</t>
  </si>
  <si>
    <t xml:space="preserve">K05</t>
  </si>
  <si>
    <t xml:space="preserve">Average lead score</t>
  </si>
  <si>
    <t xml:space="preserve">How well qualified are incoming leads (1-100)?</t>
  </si>
  <si>
    <t xml:space="preserve">score</t>
  </si>
  <si>
    <t xml:space="preserve">SELECT ROUND(AVG(lead_score),2) FROM fact_leads</t>
  </si>
  <si>
    <t xml:space="preserve">K06</t>
  </si>
  <si>
    <t xml:space="preserve">Open pipeline value</t>
  </si>
  <si>
    <t xml:space="preserve">What is the value of opportunities not yet Won or Lost?</t>
  </si>
  <si>
    <t xml:space="preserve">currency</t>
  </si>
  <si>
    <t xml:space="preserve">SELECT ROUND(SUM(opportunity_value),2) FROM fact_opportunities WHERE opportunity_stage NOT IN ('Won','Lost')</t>
  </si>
  <si>
    <t xml:space="preserve">K07</t>
  </si>
  <si>
    <t xml:space="preserve">Weighted pipeline value</t>
  </si>
  <si>
    <t xml:space="preserve">What is open pipeline worth after applying win probability?</t>
  </si>
  <si>
    <t xml:space="preserve">SELECT ROUND(SUM(opportunity_value*probability/100.0),2) FROM fact_opportunities WHERE opportunity_stage NOT IN ('Won','Lost')</t>
  </si>
  <si>
    <t xml:space="preserve">K08</t>
  </si>
  <si>
    <t xml:space="preserve">Deal win rate</t>
  </si>
  <si>
    <t xml:space="preserve">Of closed deals, what share was Won?</t>
  </si>
  <si>
    <t xml:space="preserve">SELECT ROUND(100.0*SUM(CASE WHEN deal_stage='Won' THEN 1 ELSE 0 END)/NULLIF(SUM(CASE WHEN deal_stage IN ('Won','Lost') THEN 1 ELSE 0 END),0),2) FROM fact_sales</t>
  </si>
  <si>
    <t xml:space="preserve">K09</t>
  </si>
  <si>
    <t xml:space="preserve">Won revenue</t>
  </si>
  <si>
    <t xml:space="preserve">What is the total value of Won deals?</t>
  </si>
  <si>
    <t xml:space="preserve">SELECT ROUND(SUM(close_value),2) FROM fact_sales WHERE deal_stage='Won'</t>
  </si>
  <si>
    <t xml:space="preserve">K10</t>
  </si>
  <si>
    <t xml:space="preserve">Average won deal size</t>
  </si>
  <si>
    <t xml:space="preserve">What is the average value of a Won deal?</t>
  </si>
  <si>
    <t xml:space="preserve">SELECT ROUND(AVG(close_value),2) FROM fact_sales WHERE deal_stage='Won'</t>
  </si>
  <si>
    <t xml:space="preserve">K11</t>
  </si>
  <si>
    <t xml:space="preserve">Average sales cycle</t>
  </si>
  <si>
    <t xml:space="preserve">How many days from engagement to close for Won deals?</t>
  </si>
  <si>
    <t xml:space="preserve">days</t>
  </si>
  <si>
    <t xml:space="preserve">SELECT ROUND(AVG(close_date-engage_date),1) FROM fact_sales WHERE deal_stage='Won'</t>
  </si>
  <si>
    <t xml:space="preserve">K12</t>
  </si>
  <si>
    <t xml:space="preserve">Average campaign ROI</t>
  </si>
  <si>
    <t xml:space="preserve">What return do campaigns generate, as reported by the source?</t>
  </si>
  <si>
    <t xml:space="preserve">ratio</t>
  </si>
  <si>
    <t xml:space="preserve">SELECT ROUND(AVG(roi),2) FROM dim_campaign</t>
  </si>
  <si>
    <t xml:space="preserve">K13</t>
  </si>
  <si>
    <t xml:space="preserve">Average campaign conversion rate</t>
  </si>
  <si>
    <t xml:space="preserve">What share of a campaign's audience converts, on average?</t>
  </si>
  <si>
    <t xml:space="preserve">SELECT ROUND(100.0*AVG(conversion_rate),2) FROM dim_campaign</t>
  </si>
  <si>
    <t xml:space="preserve">K14</t>
  </si>
  <si>
    <t xml:space="preserve">Total acquisition cost</t>
  </si>
  <si>
    <t xml:space="preserve">How much was spent acquiring customers across campaigns?</t>
  </si>
  <si>
    <t xml:space="preserve">SELECT ROUND(SUM(acquisition_cost),2) FROM dim_campaign</t>
  </si>
  <si>
    <t xml:space="preserve">K15</t>
  </si>
  <si>
    <t xml:space="preserve">Social click-through rate</t>
  </si>
  <si>
    <t xml:space="preserve">Of all social impressions, what share produced a click?</t>
  </si>
  <si>
    <t xml:space="preserve">SELECT ROUND(100.0*SUM(clicks)/NULLIF(SUM(impressions),0),2) FROM fact_social_media</t>
  </si>
  <si>
    <t xml:space="preserve">K16</t>
  </si>
  <si>
    <t xml:space="preserve">Average social engagement rate</t>
  </si>
  <si>
    <t xml:space="preserve">How engaging are social posts on average (capped at 50% by source)?</t>
  </si>
  <si>
    <t xml:space="preserve">SELECT ROUND(100.0*AVG(engagement_rate),2) FROM fact_social_media</t>
  </si>
  <si>
    <t xml:space="preserve">K17</t>
  </si>
  <si>
    <t xml:space="preserve">Average first response time</t>
  </si>
  <si>
    <t xml:space="preserve">How quickly do support tickets get a first reply?</t>
  </si>
  <si>
    <t xml:space="preserve">minutes</t>
  </si>
  <si>
    <t xml:space="preserve">SELECT ROUND(AVG(first_response_minutes),1) FROM fact_support</t>
  </si>
  <si>
    <t xml:space="preserve">K18</t>
  </si>
  <si>
    <t xml:space="preserve">Average resolution time</t>
  </si>
  <si>
    <t xml:space="preserve">How long does it take to resolve a ticket?</t>
  </si>
  <si>
    <t xml:space="preserve">hours</t>
  </si>
  <si>
    <t xml:space="preserve">SELECT ROUND(AVG(resolution_hours),1) FROM fact_support</t>
  </si>
  <si>
    <t xml:space="preserve">K19</t>
  </si>
  <si>
    <t xml:space="preserve">Support CSAT</t>
  </si>
  <si>
    <t xml:space="preserve">How satisfied are customers with support (1-5)?</t>
  </si>
  <si>
    <t xml:space="preserve">SELECT ROUND(AVG(customer_satisfaction_rating),2) FROM fact_support</t>
  </si>
  <si>
    <t xml:space="preserve">K20</t>
  </si>
  <si>
    <t xml:space="preserve">Ticket closure rate</t>
  </si>
  <si>
    <t xml:space="preserve">What share of tickets is Resolved or Closed?</t>
  </si>
  <si>
    <t xml:space="preserve">SELECT ROUND(100.0*SUM(CASE WHEN ticket_status IN ('Resolved','Closed') THEN 1 ELSE 0 END)/COUNT(*),2) FROM fact_support</t>
  </si>
  <si>
    <t xml:space="preserve">K21</t>
  </si>
  <si>
    <t xml:space="preserve">Contact center resolution rate</t>
  </si>
  <si>
    <t xml:space="preserve">What share of calls/chats/emails ends with outcome Resolved?</t>
  </si>
  <si>
    <t xml:space="preserve">SELECT ROUND(100.0*SUM(CASE WHEN outcome='Resolved' THEN 1 ELSE 0 END)/COUNT(*),2) FROM fact_contact_center</t>
  </si>
  <si>
    <t xml:space="preserve">K22</t>
  </si>
  <si>
    <t xml:space="preserve">Average handling time</t>
  </si>
  <si>
    <t xml:space="preserve">How long does a contact-center interaction last?</t>
  </si>
  <si>
    <t xml:space="preserve">SELECT ROUND(AVG(duration_minutes),1) FROM fact_contact_center</t>
  </si>
  <si>
    <t xml:space="preserve">K23</t>
  </si>
  <si>
    <t xml:space="preserve">Mobile purchase events</t>
  </si>
  <si>
    <t xml:space="preserve">How many app events are purchases?</t>
  </si>
  <si>
    <t xml:space="preserve">SELECT COUNT(*) FROM fact_mobile WHERE event_type='Purchase'</t>
  </si>
  <si>
    <t xml:space="preserve">K24</t>
  </si>
  <si>
    <t xml:space="preserve">Average app session length</t>
  </si>
  <si>
    <t xml:space="preserve">How long do customers stay in the app per session?</t>
  </si>
  <si>
    <t xml:space="preserve">SELECT ROUND(AVG(session_duration_minutes),1) FROM fact_mobile</t>
  </si>
  <si>
    <t xml:space="preserve">* Reference values were computed from the repo datasets at commit 3001bf2 (the same data your validation report reconciled: 110 PASS, 0 FAIL). Re-run the SQL against your database to refresh them; Power BI measures should reproduce them.</t>
  </si>
  <si>
    <t xml:space="preserve">#</t>
  </si>
  <si>
    <t xml:space="preserve">Finding</t>
  </si>
  <si>
    <t xml:space="preserve">Impact</t>
  </si>
  <si>
    <t xml:space="preserve">Where</t>
  </si>
  <si>
    <t xml:space="preserve">Status</t>
  </si>
  <si>
    <t xml:space="preserve">Recommendation</t>
  </si>
  <si>
    <t xml:space="preserve">DQ1</t>
  </si>
  <si>
    <t xml:space="preserve">Customer country</t>
  </si>
  <si>
    <t xml:space="preserve">The cleansing script applies Title Case to country, turning UK and USA into 'Uk' and 'Usa'. Website data keeps 'UK' and 'USA'.</t>
  </si>
  <si>
    <t xml:space="preserve">Country filters in Power BI show the same country twice.</t>
  </si>
  <si>
    <t xml:space="preserve">silver/cleansing/data_cleaning.py line 52</t>
  </si>
  <si>
    <t xml:space="preserve">Open</t>
  </si>
  <si>
    <t xml:space="preserve">Stop title-casing acronyms (e.g. map 'Uk'-&gt;'UK', 'Usa'-&gt;'USA') and regenerate silver; or fix in Power Query.</t>
  </si>
  <si>
    <t xml:space="preserve">DQ2</t>
  </si>
  <si>
    <t xml:space="preserve">Data dictionary</t>
  </si>
  <si>
    <t xml:space="preserve">docs/CRM_Data_Dictionary lists fields that are not in the delivered data (e.g. phone, date_of_birth, assigned_to, expected_value, opportunity_name).</t>
  </si>
  <si>
    <t xml:space="preserve">Readers of the dictionary will look for columns that do not exist.</t>
  </si>
  <si>
    <t xml:space="preserve">docs/CRM_Data_Dictionary (1).xlsx</t>
  </si>
  <si>
    <t xml:space="preserve">Align the dictionary with the actual source columns (see metadata/ECRMDP_Source_to_Target_Mapping.xlsx, Bronze_Mapping).</t>
  </si>
  <si>
    <t xml:space="preserve">DQ3</t>
  </si>
  <si>
    <t xml:space="preserve">Percent vs fraction</t>
  </si>
  <si>
    <t xml:space="preserve">probability is 0-100; conversion_rate and engagement_rate are 0-1.</t>
  </si>
  <si>
    <t xml:space="preserve">Mixing them gives results 100x off.</t>
  </si>
  <si>
    <t xml:space="preserve">fact_opportunities, dim_campaign, fact_social_media</t>
  </si>
  <si>
    <t xml:space="preserve">Note</t>
  </si>
  <si>
    <t xml:space="preserve">Format consistently in Power BI (see Overview).</t>
  </si>
  <si>
    <t xml:space="preserve">DQ4</t>
  </si>
  <si>
    <t xml:space="preserve">Engagement rate cap</t>
  </si>
  <si>
    <t xml:space="preserve">Source caps engagement_rate at 0.5 (333 of 2,000 rows are exactly 0.5).</t>
  </si>
  <si>
    <t xml:space="preserve">Averages understate engagement of the best posts.</t>
  </si>
  <si>
    <t xml:space="preserve">Recompute uncapped from the counts if needed: (likes+comments+shares+clicks)/impressions.</t>
  </si>
  <si>
    <t xml:space="preserve">DQ5</t>
  </si>
  <si>
    <t xml:space="preserve">Support ticket date</t>
  </si>
  <si>
    <t xml:space="preserve">Support tickets have no date in the source, so fact_support.date_key is empty.</t>
  </si>
  <si>
    <t xml:space="preserve">Support KPIs cannot be trended over time.</t>
  </si>
  <si>
    <t xml:space="preserve">Accepted</t>
  </si>
  <si>
    <t xml:space="preserve">Request a ticket created date from the source system.</t>
  </si>
  <si>
    <t xml:space="preserve">DQ6</t>
  </si>
  <si>
    <t xml:space="preserve">Currency</t>
  </si>
  <si>
    <t xml:space="preserve">Monetary columns (income, opportunity_value, close_value, acquisition_cost) have no currency stated in the source.</t>
  </si>
  <si>
    <t xml:space="preserve">Totals cannot be labelled with a currency symbol with certainty.</t>
  </si>
  <si>
    <t xml:space="preserve">Several tables</t>
  </si>
  <si>
    <t xml:space="preserve">Confirm the currency with the data owner before publishing executive dashboards.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</si>
</sst>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\%"/>
    <numFmt numFmtId="167" formatCode="0.00"/>
    <numFmt numFmtId="168" formatCode="#,##0.00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3" t="s">
        <v>2</v>
      </c>
    </row>
    <row r="4" customFormat="false" ht="31.5" hidden="false" customHeight="true" outlineLevel="0" collapsed="false">
      <c r="A4" s="2" t="s">
        <v>3</v>
      </c>
      <c r="B4" s="3" t="s">
        <v>4</v>
      </c>
    </row>
    <row r="5" customFormat="false" ht="31.5" hidden="false" customHeight="true" outlineLevel="0" collapsed="false">
      <c r="A5" s="2" t="s">
        <v>5</v>
      </c>
      <c r="B5" s="3" t="s">
        <v>6</v>
      </c>
    </row>
    <row r="6" customFormat="false" ht="31.5" hidden="false" customHeight="true" outlineLevel="0" collapsed="false">
      <c r="A6" s="2" t="s">
        <v>7</v>
      </c>
      <c r="B6" s="3" t="s">
        <v>8</v>
      </c>
    </row>
    <row r="7" customFormat="false" ht="31.5" hidden="false" customHeight="true" outlineLevel="0" collapsed="false">
      <c r="A7" s="2" t="s">
        <v>9</v>
      </c>
      <c r="B7" s="3" t="s">
        <v>10</v>
      </c>
    </row>
    <row r="8" customFormat="false" ht="31.5" hidden="false" customHeight="tru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2" t="s">
        <v>13</v>
      </c>
    </row>
    <row r="11" customFormat="false" ht="15" hidden="false" customHeight="false" outlineLevel="0" collapsed="false">
      <c r="A11" s="4" t="s">
        <v>14</v>
      </c>
      <c r="B11" s="4" t="n">
        <f aca="false">COUNTIF(Glossary!$H:$H,A11)</f>
        <v>17</v>
      </c>
    </row>
    <row r="12" customFormat="false" ht="15" hidden="false" customHeight="false" outlineLevel="0" collapsed="false">
      <c r="A12" s="4" t="s">
        <v>15</v>
      </c>
      <c r="B12" s="4" t="n">
        <f aca="false">COUNTIF(Glossary!$H:$H,A12)</f>
        <v>17</v>
      </c>
    </row>
    <row r="13" customFormat="false" ht="15" hidden="false" customHeight="false" outlineLevel="0" collapsed="false">
      <c r="A13" s="4" t="s">
        <v>16</v>
      </c>
      <c r="B13" s="4" t="n">
        <f aca="false">COUNTIF(Glossary!$H:$H,A13)</f>
        <v>9</v>
      </c>
    </row>
    <row r="14" customFormat="false" ht="15" hidden="false" customHeight="false" outlineLevel="0" collapsed="false">
      <c r="A14" s="4" t="s">
        <v>17</v>
      </c>
      <c r="B14" s="4" t="n">
        <f aca="false">COUNTIF(Glossary!$H:$H,A14)</f>
        <v>6</v>
      </c>
    </row>
    <row r="15" customFormat="false" ht="15" hidden="false" customHeight="false" outlineLevel="0" collapsed="false">
      <c r="A15" s="4" t="s">
        <v>18</v>
      </c>
      <c r="B15" s="4" t="n">
        <f aca="false">COUNTIF(Glossary!$H:$H,A15)</f>
        <v>9</v>
      </c>
    </row>
    <row r="16" customFormat="false" ht="15" hidden="false" customHeight="false" outlineLevel="0" collapsed="false">
      <c r="A16" s="2" t="s">
        <v>19</v>
      </c>
      <c r="B16" s="2" t="n">
        <f aca="false">SUM(B11:B15)</f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6"/>
  </cols>
  <sheetData>
    <row r="1" customFormat="false" ht="30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7</v>
      </c>
    </row>
    <row r="2" customFormat="false" ht="23.85" hidden="false" customHeight="false" outlineLevel="0" collapsed="false">
      <c r="A2" s="6" t="s">
        <v>28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17</v>
      </c>
      <c r="I2" s="6" t="s">
        <v>34</v>
      </c>
    </row>
    <row r="3" customFormat="false" ht="23.85" hidden="false" customHeight="false" outlineLevel="0" collapsed="false">
      <c r="A3" s="6" t="s">
        <v>35</v>
      </c>
      <c r="B3" s="6" t="s">
        <v>28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33</v>
      </c>
      <c r="H3" s="6" t="s">
        <v>17</v>
      </c>
      <c r="I3" s="6" t="s">
        <v>34</v>
      </c>
    </row>
    <row r="4" customFormat="false" ht="15" hidden="false" customHeight="false" outlineLevel="0" collapsed="false">
      <c r="A4" s="6" t="s">
        <v>40</v>
      </c>
      <c r="B4" s="6" t="s">
        <v>28</v>
      </c>
      <c r="C4" s="6" t="s">
        <v>41</v>
      </c>
      <c r="D4" s="6" t="s">
        <v>21</v>
      </c>
      <c r="E4" s="6" t="s">
        <v>42</v>
      </c>
      <c r="F4" s="6" t="s">
        <v>43</v>
      </c>
      <c r="G4" s="6" t="s">
        <v>33</v>
      </c>
      <c r="H4" s="6" t="s">
        <v>17</v>
      </c>
      <c r="I4" s="6" t="s">
        <v>34</v>
      </c>
    </row>
    <row r="5" customFormat="false" ht="46.25" hidden="false" customHeight="false" outlineLevel="0" collapsed="false">
      <c r="A5" s="6" t="s">
        <v>44</v>
      </c>
      <c r="B5" s="6" t="s">
        <v>28</v>
      </c>
      <c r="C5" s="6" t="s">
        <v>45</v>
      </c>
      <c r="D5" s="6" t="s">
        <v>46</v>
      </c>
      <c r="E5" s="6" t="s">
        <v>47</v>
      </c>
      <c r="F5" s="6" t="s">
        <v>32</v>
      </c>
      <c r="G5" s="6" t="s">
        <v>33</v>
      </c>
      <c r="H5" s="6" t="s">
        <v>17</v>
      </c>
      <c r="I5" s="6" t="s">
        <v>34</v>
      </c>
    </row>
    <row r="6" customFormat="false" ht="15" hidden="false" customHeight="false" outlineLevel="0" collapsed="false">
      <c r="A6" s="6" t="s">
        <v>48</v>
      </c>
      <c r="B6" s="6" t="s">
        <v>28</v>
      </c>
      <c r="C6" s="6" t="s">
        <v>49</v>
      </c>
      <c r="D6" s="6" t="s">
        <v>50</v>
      </c>
      <c r="E6" s="6" t="s">
        <v>51</v>
      </c>
      <c r="F6" s="6" t="s">
        <v>52</v>
      </c>
      <c r="G6" s="6" t="s">
        <v>33</v>
      </c>
      <c r="H6" s="6" t="s">
        <v>17</v>
      </c>
      <c r="I6" s="6" t="s">
        <v>34</v>
      </c>
    </row>
    <row r="7" customFormat="false" ht="46.25" hidden="false" customHeight="false" outlineLevel="0" collapsed="false">
      <c r="A7" s="6" t="s">
        <v>53</v>
      </c>
      <c r="B7" s="6" t="s">
        <v>28</v>
      </c>
      <c r="C7" s="6" t="s">
        <v>54</v>
      </c>
      <c r="D7" s="6" t="s">
        <v>55</v>
      </c>
      <c r="E7" s="6" t="s">
        <v>56</v>
      </c>
      <c r="F7" s="6" t="s">
        <v>57</v>
      </c>
      <c r="G7" s="6" t="s">
        <v>58</v>
      </c>
      <c r="H7" s="6" t="s">
        <v>17</v>
      </c>
      <c r="I7" s="6" t="s">
        <v>59</v>
      </c>
    </row>
    <row r="8" customFormat="false" ht="23.85" hidden="false" customHeight="false" outlineLevel="0" collapsed="false">
      <c r="A8" s="6" t="s">
        <v>60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65</v>
      </c>
      <c r="G8" s="6" t="s">
        <v>66</v>
      </c>
      <c r="H8" s="6" t="s">
        <v>14</v>
      </c>
      <c r="I8" s="6" t="s">
        <v>34</v>
      </c>
    </row>
    <row r="9" customFormat="false" ht="23.85" hidden="false" customHeight="false" outlineLevel="0" collapsed="false">
      <c r="A9" s="6" t="s">
        <v>67</v>
      </c>
      <c r="B9" s="6" t="s">
        <v>61</v>
      </c>
      <c r="C9" s="6" t="s">
        <v>68</v>
      </c>
      <c r="D9" s="6" t="s">
        <v>21</v>
      </c>
      <c r="E9" s="6" t="s">
        <v>69</v>
      </c>
      <c r="F9" s="6" t="s">
        <v>70</v>
      </c>
      <c r="G9" s="6" t="s">
        <v>66</v>
      </c>
      <c r="H9" s="6" t="s">
        <v>14</v>
      </c>
      <c r="I9" s="6" t="s">
        <v>34</v>
      </c>
    </row>
    <row r="10" customFormat="false" ht="15" hidden="false" customHeight="false" outlineLevel="0" collapsed="false">
      <c r="A10" s="6" t="s">
        <v>71</v>
      </c>
      <c r="B10" s="6" t="s">
        <v>61</v>
      </c>
      <c r="C10" s="6" t="s">
        <v>72</v>
      </c>
      <c r="D10" s="6" t="s">
        <v>21</v>
      </c>
      <c r="E10" s="6" t="s">
        <v>73</v>
      </c>
      <c r="F10" s="6" t="s">
        <v>74</v>
      </c>
      <c r="G10" s="6" t="s">
        <v>66</v>
      </c>
      <c r="H10" s="6" t="s">
        <v>14</v>
      </c>
      <c r="I10" s="6" t="s">
        <v>34</v>
      </c>
    </row>
    <row r="11" customFormat="false" ht="23.85" hidden="false" customHeight="false" outlineLevel="0" collapsed="false">
      <c r="A11" s="6" t="s">
        <v>75</v>
      </c>
      <c r="B11" s="6" t="s">
        <v>61</v>
      </c>
      <c r="C11" s="6" t="s">
        <v>76</v>
      </c>
      <c r="D11" s="6" t="s">
        <v>77</v>
      </c>
      <c r="E11" s="6" t="s">
        <v>78</v>
      </c>
      <c r="F11" s="6" t="s">
        <v>79</v>
      </c>
      <c r="G11" s="6" t="s">
        <v>66</v>
      </c>
      <c r="H11" s="6" t="s">
        <v>14</v>
      </c>
      <c r="I11" s="6" t="s">
        <v>34</v>
      </c>
    </row>
    <row r="12" customFormat="false" ht="23.85" hidden="false" customHeight="false" outlineLevel="0" collapsed="false">
      <c r="A12" s="6" t="s">
        <v>80</v>
      </c>
      <c r="B12" s="6" t="s">
        <v>61</v>
      </c>
      <c r="C12" s="6" t="s">
        <v>81</v>
      </c>
      <c r="D12" s="6" t="s">
        <v>21</v>
      </c>
      <c r="E12" s="6" t="s">
        <v>82</v>
      </c>
      <c r="F12" s="6" t="s">
        <v>83</v>
      </c>
      <c r="G12" s="6" t="s">
        <v>84</v>
      </c>
      <c r="H12" s="6" t="s">
        <v>14</v>
      </c>
      <c r="I12" s="6" t="s">
        <v>34</v>
      </c>
    </row>
    <row r="13" customFormat="false" ht="23.85" hidden="false" customHeight="false" outlineLevel="0" collapsed="false">
      <c r="A13" s="6" t="s">
        <v>85</v>
      </c>
      <c r="B13" s="6" t="s">
        <v>61</v>
      </c>
      <c r="C13" s="6" t="s">
        <v>86</v>
      </c>
      <c r="D13" s="6" t="s">
        <v>87</v>
      </c>
      <c r="E13" s="6" t="s">
        <v>88</v>
      </c>
      <c r="F13" s="6" t="s">
        <v>89</v>
      </c>
      <c r="G13" s="6" t="s">
        <v>90</v>
      </c>
      <c r="H13" s="6" t="s">
        <v>14</v>
      </c>
      <c r="I13" s="6" t="s">
        <v>34</v>
      </c>
    </row>
    <row r="14" customFormat="false" ht="23.85" hidden="false" customHeight="false" outlineLevel="0" collapsed="false">
      <c r="A14" s="6" t="s">
        <v>91</v>
      </c>
      <c r="B14" s="6" t="s">
        <v>61</v>
      </c>
      <c r="C14" s="6" t="s">
        <v>92</v>
      </c>
      <c r="D14" s="6" t="s">
        <v>21</v>
      </c>
      <c r="E14" s="6" t="s">
        <v>93</v>
      </c>
      <c r="F14" s="6" t="s">
        <v>94</v>
      </c>
      <c r="G14" s="6" t="s">
        <v>90</v>
      </c>
      <c r="H14" s="6" t="s">
        <v>14</v>
      </c>
      <c r="I14" s="6" t="s">
        <v>34</v>
      </c>
    </row>
    <row r="15" customFormat="false" ht="15" hidden="false" customHeight="false" outlineLevel="0" collapsed="false">
      <c r="A15" s="6" t="s">
        <v>95</v>
      </c>
      <c r="B15" s="6" t="s">
        <v>61</v>
      </c>
      <c r="C15" s="6" t="s">
        <v>96</v>
      </c>
      <c r="D15" s="6" t="s">
        <v>97</v>
      </c>
      <c r="E15" s="6" t="s">
        <v>98</v>
      </c>
      <c r="F15" s="6" t="s">
        <v>99</v>
      </c>
      <c r="G15" s="6" t="s">
        <v>90</v>
      </c>
      <c r="H15" s="6" t="s">
        <v>14</v>
      </c>
      <c r="I15" s="6" t="s">
        <v>34</v>
      </c>
    </row>
    <row r="16" customFormat="false" ht="23.85" hidden="false" customHeight="false" outlineLevel="0" collapsed="false">
      <c r="A16" s="6" t="s">
        <v>100</v>
      </c>
      <c r="B16" s="6" t="s">
        <v>61</v>
      </c>
      <c r="C16" s="6" t="s">
        <v>101</v>
      </c>
      <c r="D16" s="6" t="s">
        <v>102</v>
      </c>
      <c r="E16" s="6" t="s">
        <v>103</v>
      </c>
      <c r="F16" s="6" t="s">
        <v>104</v>
      </c>
      <c r="G16" s="6" t="s">
        <v>90</v>
      </c>
      <c r="H16" s="6" t="s">
        <v>14</v>
      </c>
      <c r="I16" s="6" t="s">
        <v>34</v>
      </c>
    </row>
    <row r="17" customFormat="false" ht="15" hidden="false" customHeight="false" outlineLevel="0" collapsed="false">
      <c r="A17" s="6" t="s">
        <v>105</v>
      </c>
      <c r="B17" s="6" t="s">
        <v>61</v>
      </c>
      <c r="C17" s="6" t="s">
        <v>106</v>
      </c>
      <c r="D17" s="6" t="s">
        <v>107</v>
      </c>
      <c r="E17" s="6" t="s">
        <v>108</v>
      </c>
      <c r="F17" s="6" t="s">
        <v>89</v>
      </c>
      <c r="G17" s="6" t="s">
        <v>90</v>
      </c>
      <c r="H17" s="6" t="s">
        <v>14</v>
      </c>
      <c r="I17" s="6" t="s">
        <v>59</v>
      </c>
    </row>
    <row r="18" customFormat="false" ht="23.85" hidden="false" customHeight="false" outlineLevel="0" collapsed="false">
      <c r="A18" s="6" t="s">
        <v>109</v>
      </c>
      <c r="B18" s="6" t="s">
        <v>61</v>
      </c>
      <c r="C18" s="6" t="s">
        <v>110</v>
      </c>
      <c r="D18" s="6" t="s">
        <v>21</v>
      </c>
      <c r="E18" s="6" t="s">
        <v>111</v>
      </c>
      <c r="F18" s="6" t="s">
        <v>112</v>
      </c>
      <c r="G18" s="6" t="s">
        <v>113</v>
      </c>
      <c r="H18" s="6" t="s">
        <v>14</v>
      </c>
      <c r="I18" s="6" t="s">
        <v>34</v>
      </c>
    </row>
    <row r="19" customFormat="false" ht="23.85" hidden="false" customHeight="false" outlineLevel="0" collapsed="false">
      <c r="A19" s="6" t="s">
        <v>114</v>
      </c>
      <c r="B19" s="6" t="s">
        <v>61</v>
      </c>
      <c r="C19" s="6" t="s">
        <v>115</v>
      </c>
      <c r="D19" s="6" t="s">
        <v>116</v>
      </c>
      <c r="E19" s="6" t="s">
        <v>117</v>
      </c>
      <c r="F19" s="6" t="s">
        <v>118</v>
      </c>
      <c r="G19" s="6" t="s">
        <v>119</v>
      </c>
      <c r="H19" s="6" t="s">
        <v>14</v>
      </c>
      <c r="I19" s="6" t="s">
        <v>34</v>
      </c>
    </row>
    <row r="20" customFormat="false" ht="23.85" hidden="false" customHeight="false" outlineLevel="0" collapsed="false">
      <c r="A20" s="6" t="s">
        <v>120</v>
      </c>
      <c r="B20" s="6" t="s">
        <v>61</v>
      </c>
      <c r="C20" s="6" t="s">
        <v>121</v>
      </c>
      <c r="D20" s="6" t="s">
        <v>21</v>
      </c>
      <c r="E20" s="6" t="s">
        <v>93</v>
      </c>
      <c r="F20" s="6" t="s">
        <v>122</v>
      </c>
      <c r="G20" s="6" t="s">
        <v>119</v>
      </c>
      <c r="H20" s="6" t="s">
        <v>14</v>
      </c>
      <c r="I20" s="6" t="s">
        <v>34</v>
      </c>
    </row>
    <row r="21" customFormat="false" ht="23.85" hidden="false" customHeight="false" outlineLevel="0" collapsed="false">
      <c r="A21" s="6" t="s">
        <v>123</v>
      </c>
      <c r="B21" s="6" t="s">
        <v>61</v>
      </c>
      <c r="C21" s="6" t="s">
        <v>124</v>
      </c>
      <c r="D21" s="6" t="s">
        <v>50</v>
      </c>
      <c r="E21" s="6" t="s">
        <v>125</v>
      </c>
      <c r="F21" s="6" t="s">
        <v>126</v>
      </c>
      <c r="G21" s="6" t="s">
        <v>119</v>
      </c>
      <c r="H21" s="6" t="s">
        <v>14</v>
      </c>
      <c r="I21" s="6" t="s">
        <v>34</v>
      </c>
    </row>
    <row r="22" customFormat="false" ht="15" hidden="false" customHeight="false" outlineLevel="0" collapsed="false">
      <c r="A22" s="6" t="s">
        <v>127</v>
      </c>
      <c r="B22" s="6" t="s">
        <v>61</v>
      </c>
      <c r="C22" s="6" t="s">
        <v>128</v>
      </c>
      <c r="D22" s="6" t="s">
        <v>50</v>
      </c>
      <c r="E22" s="6"/>
      <c r="F22" s="6" t="s">
        <v>129</v>
      </c>
      <c r="G22" s="6" t="s">
        <v>119</v>
      </c>
      <c r="H22" s="6" t="s">
        <v>14</v>
      </c>
      <c r="I22" s="6" t="s">
        <v>130</v>
      </c>
    </row>
    <row r="23" customFormat="false" ht="15" hidden="false" customHeight="false" outlineLevel="0" collapsed="false">
      <c r="A23" s="6" t="s">
        <v>131</v>
      </c>
      <c r="B23" s="6" t="s">
        <v>61</v>
      </c>
      <c r="C23" s="6" t="s">
        <v>132</v>
      </c>
      <c r="D23" s="6" t="s">
        <v>97</v>
      </c>
      <c r="E23" s="6" t="s">
        <v>133</v>
      </c>
      <c r="F23" s="6" t="s">
        <v>134</v>
      </c>
      <c r="G23" s="6" t="s">
        <v>119</v>
      </c>
      <c r="H23" s="6" t="s">
        <v>14</v>
      </c>
      <c r="I23" s="6" t="s">
        <v>34</v>
      </c>
    </row>
    <row r="24" customFormat="false" ht="15" hidden="false" customHeight="false" outlineLevel="0" collapsed="false">
      <c r="A24" s="6" t="s">
        <v>135</v>
      </c>
      <c r="B24" s="6" t="s">
        <v>61</v>
      </c>
      <c r="C24" s="6" t="s">
        <v>136</v>
      </c>
      <c r="D24" s="6" t="s">
        <v>137</v>
      </c>
      <c r="E24" s="6" t="s">
        <v>138</v>
      </c>
      <c r="F24" s="6" t="s">
        <v>118</v>
      </c>
      <c r="G24" s="6" t="s">
        <v>119</v>
      </c>
      <c r="H24" s="6" t="s">
        <v>14</v>
      </c>
      <c r="I24" s="6" t="s">
        <v>59</v>
      </c>
    </row>
    <row r="25" customFormat="false" ht="23.85" hidden="false" customHeight="false" outlineLevel="0" collapsed="false">
      <c r="A25" s="6" t="s">
        <v>139</v>
      </c>
      <c r="B25" s="6" t="s">
        <v>140</v>
      </c>
      <c r="C25" s="6" t="s">
        <v>141</v>
      </c>
      <c r="D25" s="6" t="s">
        <v>142</v>
      </c>
      <c r="E25" s="6" t="s">
        <v>143</v>
      </c>
      <c r="F25" s="6" t="s">
        <v>144</v>
      </c>
      <c r="G25" s="6" t="s">
        <v>145</v>
      </c>
      <c r="H25" s="6" t="s">
        <v>15</v>
      </c>
      <c r="I25" s="6" t="s">
        <v>34</v>
      </c>
    </row>
    <row r="26" customFormat="false" ht="15" hidden="false" customHeight="false" outlineLevel="0" collapsed="false">
      <c r="A26" s="6" t="s">
        <v>146</v>
      </c>
      <c r="B26" s="6" t="s">
        <v>140</v>
      </c>
      <c r="C26" s="6" t="s">
        <v>147</v>
      </c>
      <c r="D26" s="6" t="s">
        <v>21</v>
      </c>
      <c r="E26" s="6" t="s">
        <v>148</v>
      </c>
      <c r="F26" s="6" t="s">
        <v>149</v>
      </c>
      <c r="G26" s="6" t="s">
        <v>145</v>
      </c>
      <c r="H26" s="6" t="s">
        <v>15</v>
      </c>
      <c r="I26" s="6" t="s">
        <v>34</v>
      </c>
    </row>
    <row r="27" customFormat="false" ht="23.85" hidden="false" customHeight="false" outlineLevel="0" collapsed="false">
      <c r="A27" s="6" t="s">
        <v>150</v>
      </c>
      <c r="B27" s="6" t="s">
        <v>140</v>
      </c>
      <c r="C27" s="6" t="s">
        <v>151</v>
      </c>
      <c r="D27" s="6" t="s">
        <v>21</v>
      </c>
      <c r="E27" s="6" t="s">
        <v>152</v>
      </c>
      <c r="F27" s="6" t="s">
        <v>153</v>
      </c>
      <c r="G27" s="6" t="s">
        <v>145</v>
      </c>
      <c r="H27" s="6" t="s">
        <v>15</v>
      </c>
      <c r="I27" s="6" t="s">
        <v>34</v>
      </c>
    </row>
    <row r="28" customFormat="false" ht="15" hidden="false" customHeight="false" outlineLevel="0" collapsed="false">
      <c r="A28" s="6" t="s">
        <v>154</v>
      </c>
      <c r="B28" s="6" t="s">
        <v>140</v>
      </c>
      <c r="C28" s="6" t="s">
        <v>155</v>
      </c>
      <c r="D28" s="6" t="s">
        <v>156</v>
      </c>
      <c r="E28" s="6" t="s">
        <v>157</v>
      </c>
      <c r="F28" s="6" t="s">
        <v>158</v>
      </c>
      <c r="G28" s="6" t="s">
        <v>145</v>
      </c>
      <c r="H28" s="6" t="s">
        <v>15</v>
      </c>
      <c r="I28" s="6" t="s">
        <v>34</v>
      </c>
    </row>
    <row r="29" customFormat="false" ht="15" hidden="false" customHeight="false" outlineLevel="0" collapsed="false">
      <c r="A29" s="6" t="s">
        <v>159</v>
      </c>
      <c r="B29" s="6" t="s">
        <v>140</v>
      </c>
      <c r="C29" s="6" t="s">
        <v>160</v>
      </c>
      <c r="D29" s="6" t="s">
        <v>161</v>
      </c>
      <c r="E29" s="6" t="s">
        <v>162</v>
      </c>
      <c r="F29" s="6" t="s">
        <v>163</v>
      </c>
      <c r="G29" s="6" t="s">
        <v>145</v>
      </c>
      <c r="H29" s="6" t="s">
        <v>15</v>
      </c>
      <c r="I29" s="6" t="s">
        <v>34</v>
      </c>
    </row>
    <row r="30" customFormat="false" ht="23.85" hidden="false" customHeight="false" outlineLevel="0" collapsed="false">
      <c r="A30" s="6" t="s">
        <v>164</v>
      </c>
      <c r="B30" s="6" t="s">
        <v>140</v>
      </c>
      <c r="C30" s="6" t="s">
        <v>165</v>
      </c>
      <c r="D30" s="6" t="s">
        <v>166</v>
      </c>
      <c r="E30" s="6" t="s">
        <v>167</v>
      </c>
      <c r="F30" s="6" t="s">
        <v>168</v>
      </c>
      <c r="G30" s="6" t="s">
        <v>145</v>
      </c>
      <c r="H30" s="6" t="s">
        <v>15</v>
      </c>
      <c r="I30" s="6" t="s">
        <v>34</v>
      </c>
    </row>
    <row r="31" customFormat="false" ht="23.85" hidden="false" customHeight="false" outlineLevel="0" collapsed="false">
      <c r="A31" s="6" t="s">
        <v>169</v>
      </c>
      <c r="B31" s="6" t="s">
        <v>140</v>
      </c>
      <c r="C31" s="6" t="s">
        <v>170</v>
      </c>
      <c r="D31" s="6" t="s">
        <v>97</v>
      </c>
      <c r="E31" s="6" t="s">
        <v>171</v>
      </c>
      <c r="F31" s="6" t="s">
        <v>172</v>
      </c>
      <c r="G31" s="6" t="s">
        <v>145</v>
      </c>
      <c r="H31" s="6" t="s">
        <v>15</v>
      </c>
      <c r="I31" s="6" t="s">
        <v>34</v>
      </c>
    </row>
    <row r="32" customFormat="false" ht="35.05" hidden="false" customHeight="false" outlineLevel="0" collapsed="false">
      <c r="A32" s="6" t="s">
        <v>173</v>
      </c>
      <c r="B32" s="6" t="s">
        <v>140</v>
      </c>
      <c r="C32" s="6" t="s">
        <v>174</v>
      </c>
      <c r="D32" s="6" t="s">
        <v>175</v>
      </c>
      <c r="E32" s="6" t="s">
        <v>176</v>
      </c>
      <c r="F32" s="6" t="s">
        <v>177</v>
      </c>
      <c r="G32" s="6" t="s">
        <v>145</v>
      </c>
      <c r="H32" s="6" t="s">
        <v>15</v>
      </c>
      <c r="I32" s="6" t="s">
        <v>130</v>
      </c>
    </row>
    <row r="33" customFormat="false" ht="23.85" hidden="false" customHeight="false" outlineLevel="0" collapsed="false">
      <c r="A33" s="6" t="s">
        <v>178</v>
      </c>
      <c r="B33" s="6" t="s">
        <v>140</v>
      </c>
      <c r="C33" s="6" t="s">
        <v>179</v>
      </c>
      <c r="D33" s="6" t="s">
        <v>180</v>
      </c>
      <c r="E33" s="6" t="s">
        <v>181</v>
      </c>
      <c r="F33" s="6" t="s">
        <v>182</v>
      </c>
      <c r="G33" s="6" t="s">
        <v>183</v>
      </c>
      <c r="H33" s="6" t="s">
        <v>15</v>
      </c>
      <c r="I33" s="6" t="s">
        <v>34</v>
      </c>
    </row>
    <row r="34" customFormat="false" ht="15" hidden="false" customHeight="false" outlineLevel="0" collapsed="false">
      <c r="A34" s="6" t="s">
        <v>184</v>
      </c>
      <c r="B34" s="6" t="s">
        <v>140</v>
      </c>
      <c r="C34" s="6" t="s">
        <v>185</v>
      </c>
      <c r="D34" s="6" t="s">
        <v>186</v>
      </c>
      <c r="E34" s="6" t="s">
        <v>187</v>
      </c>
      <c r="F34" s="6" t="s">
        <v>188</v>
      </c>
      <c r="G34" s="6" t="s">
        <v>183</v>
      </c>
      <c r="H34" s="6" t="s">
        <v>15</v>
      </c>
      <c r="I34" s="6" t="s">
        <v>34</v>
      </c>
    </row>
    <row r="35" customFormat="false" ht="23.85" hidden="false" customHeight="false" outlineLevel="0" collapsed="false">
      <c r="A35" s="6" t="s">
        <v>189</v>
      </c>
      <c r="B35" s="6" t="s">
        <v>140</v>
      </c>
      <c r="C35" s="6" t="s">
        <v>190</v>
      </c>
      <c r="D35" s="6" t="s">
        <v>191</v>
      </c>
      <c r="E35" s="6" t="s">
        <v>192</v>
      </c>
      <c r="F35" s="6" t="s">
        <v>182</v>
      </c>
      <c r="G35" s="6" t="s">
        <v>183</v>
      </c>
      <c r="H35" s="6" t="s">
        <v>15</v>
      </c>
      <c r="I35" s="6" t="s">
        <v>34</v>
      </c>
    </row>
    <row r="36" customFormat="false" ht="35.05" hidden="false" customHeight="false" outlineLevel="0" collapsed="false">
      <c r="A36" s="6" t="s">
        <v>193</v>
      </c>
      <c r="B36" s="6" t="s">
        <v>140</v>
      </c>
      <c r="C36" s="6" t="s">
        <v>194</v>
      </c>
      <c r="D36" s="6" t="s">
        <v>195</v>
      </c>
      <c r="E36" s="6" t="s">
        <v>196</v>
      </c>
      <c r="F36" s="6" t="s">
        <v>197</v>
      </c>
      <c r="G36" s="6" t="s">
        <v>183</v>
      </c>
      <c r="H36" s="6" t="s">
        <v>15</v>
      </c>
      <c r="I36" s="6" t="s">
        <v>34</v>
      </c>
    </row>
    <row r="37" customFormat="false" ht="23.85" hidden="false" customHeight="false" outlineLevel="0" collapsed="false">
      <c r="A37" s="6" t="s">
        <v>198</v>
      </c>
      <c r="B37" s="6" t="s">
        <v>140</v>
      </c>
      <c r="C37" s="6" t="s">
        <v>199</v>
      </c>
      <c r="D37" s="6" t="s">
        <v>21</v>
      </c>
      <c r="E37" s="6" t="s">
        <v>200</v>
      </c>
      <c r="F37" s="6" t="s">
        <v>201</v>
      </c>
      <c r="G37" s="6" t="s">
        <v>183</v>
      </c>
      <c r="H37" s="6" t="s">
        <v>15</v>
      </c>
      <c r="I37" s="6" t="s">
        <v>34</v>
      </c>
    </row>
    <row r="38" customFormat="false" ht="15" hidden="false" customHeight="false" outlineLevel="0" collapsed="false">
      <c r="A38" s="6" t="s">
        <v>202</v>
      </c>
      <c r="B38" s="6" t="s">
        <v>203</v>
      </c>
      <c r="C38" s="6" t="s">
        <v>204</v>
      </c>
      <c r="D38" s="6" t="s">
        <v>205</v>
      </c>
      <c r="E38" s="6" t="s">
        <v>206</v>
      </c>
      <c r="F38" s="6" t="s">
        <v>207</v>
      </c>
      <c r="G38" s="6" t="s">
        <v>208</v>
      </c>
      <c r="H38" s="6" t="s">
        <v>16</v>
      </c>
      <c r="I38" s="6" t="s">
        <v>34</v>
      </c>
    </row>
    <row r="39" customFormat="false" ht="46.25" hidden="false" customHeight="false" outlineLevel="0" collapsed="false">
      <c r="A39" s="6" t="s">
        <v>209</v>
      </c>
      <c r="B39" s="6" t="s">
        <v>203</v>
      </c>
      <c r="C39" s="6" t="s">
        <v>210</v>
      </c>
      <c r="D39" s="6" t="s">
        <v>21</v>
      </c>
      <c r="E39" s="6" t="s">
        <v>211</v>
      </c>
      <c r="F39" s="6" t="s">
        <v>207</v>
      </c>
      <c r="G39" s="6" t="s">
        <v>208</v>
      </c>
      <c r="H39" s="6" t="s">
        <v>16</v>
      </c>
      <c r="I39" s="6" t="s">
        <v>34</v>
      </c>
    </row>
    <row r="40" customFormat="false" ht="15" hidden="false" customHeight="false" outlineLevel="0" collapsed="false">
      <c r="A40" s="6" t="s">
        <v>212</v>
      </c>
      <c r="B40" s="6" t="s">
        <v>203</v>
      </c>
      <c r="C40" s="6" t="s">
        <v>213</v>
      </c>
      <c r="D40" s="6" t="s">
        <v>214</v>
      </c>
      <c r="E40" s="6" t="s">
        <v>215</v>
      </c>
      <c r="F40" s="6" t="s">
        <v>216</v>
      </c>
      <c r="G40" s="6" t="s">
        <v>208</v>
      </c>
      <c r="H40" s="6" t="s">
        <v>16</v>
      </c>
      <c r="I40" s="6" t="s">
        <v>34</v>
      </c>
    </row>
    <row r="41" customFormat="false" ht="15" hidden="false" customHeight="false" outlineLevel="0" collapsed="false">
      <c r="A41" s="6" t="s">
        <v>217</v>
      </c>
      <c r="B41" s="6" t="s">
        <v>203</v>
      </c>
      <c r="C41" s="6" t="s">
        <v>218</v>
      </c>
      <c r="D41" s="6" t="s">
        <v>219</v>
      </c>
      <c r="E41" s="6" t="s">
        <v>220</v>
      </c>
      <c r="F41" s="6" t="s">
        <v>221</v>
      </c>
      <c r="G41" s="6" t="s">
        <v>208</v>
      </c>
      <c r="H41" s="6" t="s">
        <v>16</v>
      </c>
      <c r="I41" s="6" t="s">
        <v>34</v>
      </c>
    </row>
    <row r="42" customFormat="false" ht="23.85" hidden="false" customHeight="false" outlineLevel="0" collapsed="false">
      <c r="A42" s="6" t="s">
        <v>222</v>
      </c>
      <c r="B42" s="6" t="s">
        <v>203</v>
      </c>
      <c r="C42" s="6" t="s">
        <v>223</v>
      </c>
      <c r="D42" s="6" t="s">
        <v>224</v>
      </c>
      <c r="E42" s="6" t="s">
        <v>225</v>
      </c>
      <c r="F42" s="6" t="s">
        <v>226</v>
      </c>
      <c r="G42" s="6" t="s">
        <v>227</v>
      </c>
      <c r="H42" s="6" t="s">
        <v>16</v>
      </c>
      <c r="I42" s="6" t="s">
        <v>34</v>
      </c>
    </row>
    <row r="43" customFormat="false" ht="23.85" hidden="false" customHeight="false" outlineLevel="0" collapsed="false">
      <c r="A43" s="6" t="s">
        <v>228</v>
      </c>
      <c r="B43" s="6" t="s">
        <v>203</v>
      </c>
      <c r="C43" s="6" t="s">
        <v>229</v>
      </c>
      <c r="D43" s="6" t="s">
        <v>230</v>
      </c>
      <c r="E43" s="6" t="s">
        <v>231</v>
      </c>
      <c r="F43" s="6" t="s">
        <v>232</v>
      </c>
      <c r="G43" s="6" t="s">
        <v>233</v>
      </c>
      <c r="H43" s="6" t="s">
        <v>16</v>
      </c>
      <c r="I43" s="6" t="s">
        <v>34</v>
      </c>
    </row>
    <row r="44" customFormat="false" ht="46.25" hidden="false" customHeight="false" outlineLevel="0" collapsed="false">
      <c r="A44" s="6" t="s">
        <v>234</v>
      </c>
      <c r="B44" s="6" t="s">
        <v>203</v>
      </c>
      <c r="C44" s="6" t="s">
        <v>235</v>
      </c>
      <c r="D44" s="6" t="s">
        <v>21</v>
      </c>
      <c r="E44" s="6" t="s">
        <v>236</v>
      </c>
      <c r="F44" s="6" t="s">
        <v>232</v>
      </c>
      <c r="G44" s="6" t="s">
        <v>233</v>
      </c>
      <c r="H44" s="6" t="s">
        <v>16</v>
      </c>
      <c r="I44" s="6" t="s">
        <v>34</v>
      </c>
    </row>
    <row r="45" customFormat="false" ht="15" hidden="false" customHeight="false" outlineLevel="0" collapsed="false">
      <c r="A45" s="6" t="s">
        <v>237</v>
      </c>
      <c r="B45" s="6" t="s">
        <v>203</v>
      </c>
      <c r="C45" s="6" t="s">
        <v>238</v>
      </c>
      <c r="D45" s="6" t="s">
        <v>239</v>
      </c>
      <c r="E45" s="6" t="s">
        <v>240</v>
      </c>
      <c r="F45" s="6" t="s">
        <v>241</v>
      </c>
      <c r="G45" s="6" t="s">
        <v>233</v>
      </c>
      <c r="H45" s="6" t="s">
        <v>16</v>
      </c>
      <c r="I45" s="6" t="s">
        <v>34</v>
      </c>
    </row>
    <row r="46" customFormat="false" ht="15" hidden="false" customHeight="false" outlineLevel="0" collapsed="false">
      <c r="A46" s="6" t="s">
        <v>242</v>
      </c>
      <c r="B46" s="6" t="s">
        <v>203</v>
      </c>
      <c r="C46" s="6" t="s">
        <v>243</v>
      </c>
      <c r="D46" s="6" t="s">
        <v>214</v>
      </c>
      <c r="E46" s="6" t="s">
        <v>244</v>
      </c>
      <c r="F46" s="6" t="s">
        <v>245</v>
      </c>
      <c r="G46" s="6" t="s">
        <v>233</v>
      </c>
      <c r="H46" s="6" t="s">
        <v>16</v>
      </c>
      <c r="I46" s="6" t="s">
        <v>34</v>
      </c>
    </row>
    <row r="47" customFormat="false" ht="35.05" hidden="false" customHeight="false" outlineLevel="0" collapsed="false">
      <c r="A47" s="6" t="s">
        <v>246</v>
      </c>
      <c r="B47" s="6" t="s">
        <v>247</v>
      </c>
      <c r="C47" s="6" t="s">
        <v>248</v>
      </c>
      <c r="D47" s="6" t="s">
        <v>249</v>
      </c>
      <c r="E47" s="6" t="s">
        <v>250</v>
      </c>
      <c r="F47" s="6" t="s">
        <v>251</v>
      </c>
      <c r="G47" s="6" t="s">
        <v>252</v>
      </c>
      <c r="H47" s="6" t="s">
        <v>15</v>
      </c>
      <c r="I47" s="6" t="s">
        <v>34</v>
      </c>
    </row>
    <row r="48" customFormat="false" ht="23.85" hidden="false" customHeight="false" outlineLevel="0" collapsed="false">
      <c r="A48" s="6" t="s">
        <v>253</v>
      </c>
      <c r="B48" s="6" t="s">
        <v>247</v>
      </c>
      <c r="C48" s="6" t="s">
        <v>254</v>
      </c>
      <c r="D48" s="6" t="s">
        <v>255</v>
      </c>
      <c r="E48" s="6" t="s">
        <v>256</v>
      </c>
      <c r="F48" s="6" t="s">
        <v>257</v>
      </c>
      <c r="G48" s="6" t="s">
        <v>258</v>
      </c>
      <c r="H48" s="6" t="s">
        <v>15</v>
      </c>
      <c r="I48" s="6" t="s">
        <v>34</v>
      </c>
    </row>
    <row r="49" customFormat="false" ht="15" hidden="false" customHeight="false" outlineLevel="0" collapsed="false">
      <c r="A49" s="6" t="s">
        <v>259</v>
      </c>
      <c r="B49" s="6" t="s">
        <v>247</v>
      </c>
      <c r="C49" s="6" t="s">
        <v>260</v>
      </c>
      <c r="D49" s="6" t="s">
        <v>214</v>
      </c>
      <c r="E49" s="6" t="s">
        <v>261</v>
      </c>
      <c r="F49" s="6" t="s">
        <v>262</v>
      </c>
      <c r="G49" s="6" t="s">
        <v>258</v>
      </c>
      <c r="H49" s="6" t="s">
        <v>15</v>
      </c>
      <c r="I49" s="6" t="s">
        <v>34</v>
      </c>
    </row>
    <row r="50" customFormat="false" ht="15" hidden="false" customHeight="false" outlineLevel="0" collapsed="false">
      <c r="A50" s="6" t="s">
        <v>263</v>
      </c>
      <c r="B50" s="6" t="s">
        <v>247</v>
      </c>
      <c r="C50" s="6" t="s">
        <v>264</v>
      </c>
      <c r="D50" s="6" t="s">
        <v>21</v>
      </c>
      <c r="E50" s="6" t="s">
        <v>265</v>
      </c>
      <c r="F50" s="6" t="s">
        <v>266</v>
      </c>
      <c r="G50" s="6" t="s">
        <v>258</v>
      </c>
      <c r="H50" s="6" t="s">
        <v>15</v>
      </c>
      <c r="I50" s="6" t="s">
        <v>34</v>
      </c>
    </row>
    <row r="51" customFormat="false" ht="23.85" hidden="false" customHeight="false" outlineLevel="0" collapsed="false">
      <c r="A51" s="6" t="s">
        <v>267</v>
      </c>
      <c r="B51" s="6" t="s">
        <v>268</v>
      </c>
      <c r="C51" s="6" t="s">
        <v>269</v>
      </c>
      <c r="D51" s="6" t="s">
        <v>270</v>
      </c>
      <c r="E51" s="6" t="s">
        <v>271</v>
      </c>
      <c r="F51" s="6" t="s">
        <v>272</v>
      </c>
      <c r="G51" s="6" t="s">
        <v>58</v>
      </c>
      <c r="H51" s="6" t="s">
        <v>18</v>
      </c>
      <c r="I51" s="6" t="s">
        <v>59</v>
      </c>
    </row>
    <row r="52" customFormat="false" ht="23.85" hidden="false" customHeight="false" outlineLevel="0" collapsed="false">
      <c r="A52" s="6" t="s">
        <v>273</v>
      </c>
      <c r="B52" s="6" t="s">
        <v>268</v>
      </c>
      <c r="C52" s="6" t="s">
        <v>274</v>
      </c>
      <c r="D52" s="6" t="s">
        <v>270</v>
      </c>
      <c r="E52" s="6" t="s">
        <v>275</v>
      </c>
      <c r="F52" s="6" t="s">
        <v>276</v>
      </c>
      <c r="G52" s="6" t="s">
        <v>58</v>
      </c>
      <c r="H52" s="6" t="s">
        <v>18</v>
      </c>
      <c r="I52" s="6" t="s">
        <v>59</v>
      </c>
    </row>
    <row r="53" customFormat="false" ht="23.85" hidden="false" customHeight="false" outlineLevel="0" collapsed="false">
      <c r="A53" s="6" t="s">
        <v>277</v>
      </c>
      <c r="B53" s="6" t="s">
        <v>268</v>
      </c>
      <c r="C53" s="6" t="s">
        <v>278</v>
      </c>
      <c r="D53" s="6" t="s">
        <v>270</v>
      </c>
      <c r="E53" s="6" t="s">
        <v>279</v>
      </c>
      <c r="F53" s="6" t="s">
        <v>280</v>
      </c>
      <c r="G53" s="6" t="s">
        <v>58</v>
      </c>
      <c r="H53" s="6" t="s">
        <v>18</v>
      </c>
      <c r="I53" s="6" t="s">
        <v>59</v>
      </c>
    </row>
    <row r="54" customFormat="false" ht="35.05" hidden="false" customHeight="false" outlineLevel="0" collapsed="false">
      <c r="A54" s="6" t="s">
        <v>281</v>
      </c>
      <c r="B54" s="6" t="s">
        <v>268</v>
      </c>
      <c r="C54" s="6" t="s">
        <v>282</v>
      </c>
      <c r="D54" s="6" t="s">
        <v>283</v>
      </c>
      <c r="E54" s="6"/>
      <c r="F54" s="6" t="s">
        <v>284</v>
      </c>
      <c r="G54" s="6" t="s">
        <v>285</v>
      </c>
      <c r="H54" s="6" t="s">
        <v>18</v>
      </c>
      <c r="I54" s="6" t="s">
        <v>286</v>
      </c>
    </row>
    <row r="55" customFormat="false" ht="23.85" hidden="false" customHeight="false" outlineLevel="0" collapsed="false">
      <c r="A55" s="6" t="s">
        <v>287</v>
      </c>
      <c r="B55" s="6" t="s">
        <v>268</v>
      </c>
      <c r="C55" s="6" t="s">
        <v>288</v>
      </c>
      <c r="D55" s="6" t="s">
        <v>283</v>
      </c>
      <c r="E55" s="6"/>
      <c r="F55" s="6" t="s">
        <v>289</v>
      </c>
      <c r="G55" s="6" t="s">
        <v>285</v>
      </c>
      <c r="H55" s="6" t="s">
        <v>18</v>
      </c>
      <c r="I55" s="6" t="s">
        <v>286</v>
      </c>
    </row>
    <row r="56" customFormat="false" ht="23.85" hidden="false" customHeight="false" outlineLevel="0" collapsed="false">
      <c r="A56" s="6" t="s">
        <v>290</v>
      </c>
      <c r="B56" s="6" t="s">
        <v>268</v>
      </c>
      <c r="C56" s="6" t="s">
        <v>291</v>
      </c>
      <c r="D56" s="6" t="s">
        <v>292</v>
      </c>
      <c r="E56" s="6"/>
      <c r="F56" s="6" t="s">
        <v>293</v>
      </c>
      <c r="G56" s="6" t="s">
        <v>285</v>
      </c>
      <c r="H56" s="6" t="s">
        <v>18</v>
      </c>
      <c r="I56" s="6" t="s">
        <v>286</v>
      </c>
    </row>
    <row r="57" customFormat="false" ht="23.85" hidden="false" customHeight="false" outlineLevel="0" collapsed="false">
      <c r="A57" s="6" t="s">
        <v>294</v>
      </c>
      <c r="B57" s="6" t="s">
        <v>268</v>
      </c>
      <c r="C57" s="6" t="s">
        <v>295</v>
      </c>
      <c r="D57" s="6" t="s">
        <v>296</v>
      </c>
      <c r="E57" s="6" t="s">
        <v>297</v>
      </c>
      <c r="F57" s="6" t="s">
        <v>298</v>
      </c>
      <c r="G57" s="6" t="s">
        <v>299</v>
      </c>
      <c r="H57" s="6" t="s">
        <v>18</v>
      </c>
      <c r="I57" s="6" t="s">
        <v>34</v>
      </c>
    </row>
    <row r="58" customFormat="false" ht="23.85" hidden="false" customHeight="false" outlineLevel="0" collapsed="false">
      <c r="A58" s="6" t="s">
        <v>300</v>
      </c>
      <c r="B58" s="6" t="s">
        <v>268</v>
      </c>
      <c r="C58" s="6" t="s">
        <v>301</v>
      </c>
      <c r="D58" s="6" t="s">
        <v>302</v>
      </c>
      <c r="E58" s="6"/>
      <c r="F58" s="6" t="s">
        <v>303</v>
      </c>
      <c r="G58" s="6" t="s">
        <v>285</v>
      </c>
      <c r="H58" s="6" t="s">
        <v>18</v>
      </c>
      <c r="I58" s="6" t="s">
        <v>59</v>
      </c>
    </row>
    <row r="59" customFormat="false" ht="23.85" hidden="false" customHeight="false" outlineLevel="0" collapsed="false">
      <c r="A59" s="6" t="s">
        <v>304</v>
      </c>
      <c r="B59" s="6" t="s">
        <v>268</v>
      </c>
      <c r="C59" s="6" t="s">
        <v>305</v>
      </c>
      <c r="D59" s="6" t="s">
        <v>306</v>
      </c>
      <c r="E59" s="6" t="s">
        <v>307</v>
      </c>
      <c r="F59" s="6" t="s">
        <v>308</v>
      </c>
      <c r="G59" s="6" t="s">
        <v>285</v>
      </c>
      <c r="H59" s="6" t="s">
        <v>18</v>
      </c>
      <c r="I59" s="6" t="s">
        <v>59</v>
      </c>
    </row>
  </sheetData>
  <autoFilter ref="A1:I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44"/>
    <col collapsed="false" customWidth="true" hidden="false" outlineLevel="0" max="6" min="6" style="0" width="10"/>
    <col collapsed="false" customWidth="true" hidden="false" outlineLevel="0" max="7" min="7" style="0" width="80"/>
    <col collapsed="false" customWidth="true" hidden="false" outlineLevel="0" max="8" min="8" style="0" width="18"/>
  </cols>
  <sheetData>
    <row r="1" customFormat="false" ht="30" hidden="false" customHeight="true" outlineLevel="0" collapsed="false">
      <c r="A1" s="5" t="s">
        <v>309</v>
      </c>
      <c r="B1" s="5" t="s">
        <v>310</v>
      </c>
      <c r="C1" s="5" t="s">
        <v>311</v>
      </c>
      <c r="D1" s="5" t="s">
        <v>27</v>
      </c>
      <c r="E1" s="5" t="s">
        <v>312</v>
      </c>
      <c r="F1" s="5" t="s">
        <v>313</v>
      </c>
      <c r="G1" s="5" t="s">
        <v>314</v>
      </c>
      <c r="H1" s="5" t="s">
        <v>315</v>
      </c>
    </row>
    <row r="2" customFormat="false" ht="23.85" hidden="false" customHeight="false" outlineLevel="0" collapsed="false">
      <c r="A2" s="6" t="s">
        <v>316</v>
      </c>
      <c r="B2" s="6" t="s">
        <v>317</v>
      </c>
      <c r="C2" s="6" t="s">
        <v>28</v>
      </c>
      <c r="D2" s="6" t="s">
        <v>17</v>
      </c>
      <c r="E2" s="6" t="s">
        <v>318</v>
      </c>
      <c r="F2" s="6" t="s">
        <v>319</v>
      </c>
      <c r="G2" s="6" t="s">
        <v>320</v>
      </c>
      <c r="H2" s="7" t="n">
        <v>2000</v>
      </c>
    </row>
    <row r="3" customFormat="false" ht="23.85" hidden="false" customHeight="false" outlineLevel="0" collapsed="false">
      <c r="A3" s="6" t="s">
        <v>321</v>
      </c>
      <c r="B3" s="6" t="s">
        <v>322</v>
      </c>
      <c r="C3" s="6" t="s">
        <v>28</v>
      </c>
      <c r="D3" s="6" t="s">
        <v>17</v>
      </c>
      <c r="E3" s="6" t="s">
        <v>323</v>
      </c>
      <c r="F3" s="6" t="s">
        <v>324</v>
      </c>
      <c r="G3" s="6" t="s">
        <v>325</v>
      </c>
      <c r="H3" s="8" t="n">
        <v>49.7</v>
      </c>
    </row>
    <row r="4" customFormat="false" ht="57.45" hidden="false" customHeight="false" outlineLevel="0" collapsed="false">
      <c r="A4" s="6" t="s">
        <v>326</v>
      </c>
      <c r="B4" s="6" t="s">
        <v>327</v>
      </c>
      <c r="C4" s="6" t="s">
        <v>28</v>
      </c>
      <c r="D4" s="6" t="s">
        <v>17</v>
      </c>
      <c r="E4" s="6" t="s">
        <v>328</v>
      </c>
      <c r="F4" s="6" t="s">
        <v>324</v>
      </c>
      <c r="G4" s="6" t="s">
        <v>329</v>
      </c>
      <c r="H4" s="8" t="n">
        <v>99.9</v>
      </c>
    </row>
    <row r="5" customFormat="false" ht="23.85" hidden="false" customHeight="false" outlineLevel="0" collapsed="false">
      <c r="A5" s="6" t="s">
        <v>330</v>
      </c>
      <c r="B5" s="6" t="s">
        <v>331</v>
      </c>
      <c r="C5" s="6" t="s">
        <v>61</v>
      </c>
      <c r="D5" s="6" t="s">
        <v>14</v>
      </c>
      <c r="E5" s="6" t="s">
        <v>332</v>
      </c>
      <c r="F5" s="6" t="s">
        <v>324</v>
      </c>
      <c r="G5" s="6" t="s">
        <v>333</v>
      </c>
      <c r="H5" s="8" t="n">
        <v>18.4</v>
      </c>
    </row>
    <row r="6" customFormat="false" ht="15" hidden="false" customHeight="false" outlineLevel="0" collapsed="false">
      <c r="A6" s="6" t="s">
        <v>334</v>
      </c>
      <c r="B6" s="6" t="s">
        <v>335</v>
      </c>
      <c r="C6" s="6" t="s">
        <v>61</v>
      </c>
      <c r="D6" s="6" t="s">
        <v>14</v>
      </c>
      <c r="E6" s="6" t="s">
        <v>336</v>
      </c>
      <c r="F6" s="6" t="s">
        <v>337</v>
      </c>
      <c r="G6" s="6" t="s">
        <v>338</v>
      </c>
      <c r="H6" s="9" t="n">
        <v>50.07</v>
      </c>
    </row>
    <row r="7" customFormat="false" ht="23.85" hidden="false" customHeight="false" outlineLevel="0" collapsed="false">
      <c r="A7" s="6" t="s">
        <v>339</v>
      </c>
      <c r="B7" s="6" t="s">
        <v>340</v>
      </c>
      <c r="C7" s="6" t="s">
        <v>61</v>
      </c>
      <c r="D7" s="6" t="s">
        <v>14</v>
      </c>
      <c r="E7" s="6" t="s">
        <v>341</v>
      </c>
      <c r="F7" s="6" t="s">
        <v>342</v>
      </c>
      <c r="G7" s="6" t="s">
        <v>343</v>
      </c>
      <c r="H7" s="10" t="n">
        <v>209008202.45</v>
      </c>
    </row>
    <row r="8" customFormat="false" ht="23.85" hidden="false" customHeight="false" outlineLevel="0" collapsed="false">
      <c r="A8" s="6" t="s">
        <v>344</v>
      </c>
      <c r="B8" s="6" t="s">
        <v>345</v>
      </c>
      <c r="C8" s="6" t="s">
        <v>61</v>
      </c>
      <c r="D8" s="6" t="s">
        <v>14</v>
      </c>
      <c r="E8" s="6" t="s">
        <v>346</v>
      </c>
      <c r="F8" s="6" t="s">
        <v>342</v>
      </c>
      <c r="G8" s="6" t="s">
        <v>347</v>
      </c>
      <c r="H8" s="10" t="n">
        <v>111474444.01</v>
      </c>
    </row>
    <row r="9" customFormat="false" ht="35.05" hidden="false" customHeight="false" outlineLevel="0" collapsed="false">
      <c r="A9" s="6" t="s">
        <v>348</v>
      </c>
      <c r="B9" s="6" t="s">
        <v>349</v>
      </c>
      <c r="C9" s="6" t="s">
        <v>61</v>
      </c>
      <c r="D9" s="6" t="s">
        <v>14</v>
      </c>
      <c r="E9" s="6" t="s">
        <v>350</v>
      </c>
      <c r="F9" s="6" t="s">
        <v>324</v>
      </c>
      <c r="G9" s="6" t="s">
        <v>351</v>
      </c>
      <c r="H9" s="8" t="n">
        <v>50</v>
      </c>
    </row>
    <row r="10" customFormat="false" ht="15" hidden="false" customHeight="false" outlineLevel="0" collapsed="false">
      <c r="A10" s="6" t="s">
        <v>352</v>
      </c>
      <c r="B10" s="6" t="s">
        <v>353</v>
      </c>
      <c r="C10" s="6" t="s">
        <v>61</v>
      </c>
      <c r="D10" s="6" t="s">
        <v>14</v>
      </c>
      <c r="E10" s="6" t="s">
        <v>354</v>
      </c>
      <c r="F10" s="6" t="s">
        <v>342</v>
      </c>
      <c r="G10" s="6" t="s">
        <v>355</v>
      </c>
      <c r="H10" s="10" t="n">
        <v>58523409.29</v>
      </c>
    </row>
    <row r="11" customFormat="false" ht="15" hidden="false" customHeight="false" outlineLevel="0" collapsed="false">
      <c r="A11" s="6" t="s">
        <v>356</v>
      </c>
      <c r="B11" s="6" t="s">
        <v>357</v>
      </c>
      <c r="C11" s="6" t="s">
        <v>61</v>
      </c>
      <c r="D11" s="6" t="s">
        <v>14</v>
      </c>
      <c r="E11" s="6" t="s">
        <v>358</v>
      </c>
      <c r="F11" s="6" t="s">
        <v>342</v>
      </c>
      <c r="G11" s="6" t="s">
        <v>359</v>
      </c>
      <c r="H11" s="10" t="n">
        <v>182315.92</v>
      </c>
    </row>
    <row r="12" customFormat="false" ht="23.85" hidden="false" customHeight="false" outlineLevel="0" collapsed="false">
      <c r="A12" s="6" t="s">
        <v>360</v>
      </c>
      <c r="B12" s="6" t="s">
        <v>361</v>
      </c>
      <c r="C12" s="6" t="s">
        <v>61</v>
      </c>
      <c r="D12" s="6" t="s">
        <v>14</v>
      </c>
      <c r="E12" s="6" t="s">
        <v>362</v>
      </c>
      <c r="F12" s="6" t="s">
        <v>363</v>
      </c>
      <c r="G12" s="6" t="s">
        <v>364</v>
      </c>
      <c r="H12" s="11" t="n">
        <v>117.3</v>
      </c>
    </row>
    <row r="13" customFormat="false" ht="23.85" hidden="false" customHeight="false" outlineLevel="0" collapsed="false">
      <c r="A13" s="6" t="s">
        <v>365</v>
      </c>
      <c r="B13" s="6" t="s">
        <v>366</v>
      </c>
      <c r="C13" s="6" t="s">
        <v>140</v>
      </c>
      <c r="D13" s="6" t="s">
        <v>15</v>
      </c>
      <c r="E13" s="6" t="s">
        <v>367</v>
      </c>
      <c r="F13" s="6" t="s">
        <v>368</v>
      </c>
      <c r="G13" s="6" t="s">
        <v>369</v>
      </c>
      <c r="H13" s="9" t="n">
        <v>5.19</v>
      </c>
    </row>
    <row r="14" customFormat="false" ht="23.85" hidden="false" customHeight="false" outlineLevel="0" collapsed="false">
      <c r="A14" s="6" t="s">
        <v>370</v>
      </c>
      <c r="B14" s="6" t="s">
        <v>371</v>
      </c>
      <c r="C14" s="6" t="s">
        <v>140</v>
      </c>
      <c r="D14" s="6" t="s">
        <v>15</v>
      </c>
      <c r="E14" s="6" t="s">
        <v>372</v>
      </c>
      <c r="F14" s="6" t="s">
        <v>324</v>
      </c>
      <c r="G14" s="6" t="s">
        <v>373</v>
      </c>
      <c r="H14" s="8" t="n">
        <v>18.39</v>
      </c>
    </row>
    <row r="15" customFormat="false" ht="23.85" hidden="false" customHeight="false" outlineLevel="0" collapsed="false">
      <c r="A15" s="6" t="s">
        <v>374</v>
      </c>
      <c r="B15" s="6" t="s">
        <v>375</v>
      </c>
      <c r="C15" s="6" t="s">
        <v>140</v>
      </c>
      <c r="D15" s="6" t="s">
        <v>15</v>
      </c>
      <c r="E15" s="6" t="s">
        <v>376</v>
      </c>
      <c r="F15" s="6" t="s">
        <v>342</v>
      </c>
      <c r="G15" s="6" t="s">
        <v>377</v>
      </c>
      <c r="H15" s="10" t="n">
        <v>25790125.02</v>
      </c>
    </row>
    <row r="16" customFormat="false" ht="23.85" hidden="false" customHeight="false" outlineLevel="0" collapsed="false">
      <c r="A16" s="6" t="s">
        <v>378</v>
      </c>
      <c r="B16" s="6" t="s">
        <v>379</v>
      </c>
      <c r="C16" s="6" t="s">
        <v>140</v>
      </c>
      <c r="D16" s="6" t="s">
        <v>15</v>
      </c>
      <c r="E16" s="6" t="s">
        <v>380</v>
      </c>
      <c r="F16" s="6" t="s">
        <v>324</v>
      </c>
      <c r="G16" s="6" t="s">
        <v>381</v>
      </c>
      <c r="H16" s="8" t="n">
        <v>7.32</v>
      </c>
    </row>
    <row r="17" customFormat="false" ht="23.85" hidden="false" customHeight="false" outlineLevel="0" collapsed="false">
      <c r="A17" s="6" t="s">
        <v>382</v>
      </c>
      <c r="B17" s="6" t="s">
        <v>383</v>
      </c>
      <c r="C17" s="6" t="s">
        <v>140</v>
      </c>
      <c r="D17" s="6" t="s">
        <v>15</v>
      </c>
      <c r="E17" s="6" t="s">
        <v>384</v>
      </c>
      <c r="F17" s="6" t="s">
        <v>324</v>
      </c>
      <c r="G17" s="6" t="s">
        <v>385</v>
      </c>
      <c r="H17" s="8" t="n">
        <v>23.22</v>
      </c>
    </row>
    <row r="18" customFormat="false" ht="15" hidden="false" customHeight="false" outlineLevel="0" collapsed="false">
      <c r="A18" s="6" t="s">
        <v>386</v>
      </c>
      <c r="B18" s="6" t="s">
        <v>387</v>
      </c>
      <c r="C18" s="6" t="s">
        <v>203</v>
      </c>
      <c r="D18" s="6" t="s">
        <v>16</v>
      </c>
      <c r="E18" s="6" t="s">
        <v>388</v>
      </c>
      <c r="F18" s="6" t="s">
        <v>389</v>
      </c>
      <c r="G18" s="6" t="s">
        <v>390</v>
      </c>
      <c r="H18" s="11" t="n">
        <v>301.4</v>
      </c>
    </row>
    <row r="19" customFormat="false" ht="15" hidden="false" customHeight="false" outlineLevel="0" collapsed="false">
      <c r="A19" s="6" t="s">
        <v>391</v>
      </c>
      <c r="B19" s="6" t="s">
        <v>392</v>
      </c>
      <c r="C19" s="6" t="s">
        <v>203</v>
      </c>
      <c r="D19" s="6" t="s">
        <v>16</v>
      </c>
      <c r="E19" s="6" t="s">
        <v>393</v>
      </c>
      <c r="F19" s="6" t="s">
        <v>394</v>
      </c>
      <c r="G19" s="6" t="s">
        <v>395</v>
      </c>
      <c r="H19" s="11" t="n">
        <v>59.9</v>
      </c>
    </row>
    <row r="20" customFormat="false" ht="15" hidden="false" customHeight="false" outlineLevel="0" collapsed="false">
      <c r="A20" s="6" t="s">
        <v>396</v>
      </c>
      <c r="B20" s="6" t="s">
        <v>397</v>
      </c>
      <c r="C20" s="6" t="s">
        <v>203</v>
      </c>
      <c r="D20" s="6" t="s">
        <v>16</v>
      </c>
      <c r="E20" s="6" t="s">
        <v>398</v>
      </c>
      <c r="F20" s="6" t="s">
        <v>337</v>
      </c>
      <c r="G20" s="6" t="s">
        <v>399</v>
      </c>
      <c r="H20" s="9" t="n">
        <v>3.02</v>
      </c>
    </row>
    <row r="21" customFormat="false" ht="23.85" hidden="false" customHeight="false" outlineLevel="0" collapsed="false">
      <c r="A21" s="6" t="s">
        <v>400</v>
      </c>
      <c r="B21" s="6" t="s">
        <v>401</v>
      </c>
      <c r="C21" s="6" t="s">
        <v>203</v>
      </c>
      <c r="D21" s="6" t="s">
        <v>16</v>
      </c>
      <c r="E21" s="6" t="s">
        <v>402</v>
      </c>
      <c r="F21" s="6" t="s">
        <v>324</v>
      </c>
      <c r="G21" s="6" t="s">
        <v>403</v>
      </c>
      <c r="H21" s="8" t="n">
        <v>51.65</v>
      </c>
    </row>
    <row r="22" customFormat="false" ht="23.85" hidden="false" customHeight="false" outlineLevel="0" collapsed="false">
      <c r="A22" s="6" t="s">
        <v>404</v>
      </c>
      <c r="B22" s="6" t="s">
        <v>405</v>
      </c>
      <c r="C22" s="6" t="s">
        <v>203</v>
      </c>
      <c r="D22" s="6" t="s">
        <v>16</v>
      </c>
      <c r="E22" s="6" t="s">
        <v>406</v>
      </c>
      <c r="F22" s="6" t="s">
        <v>324</v>
      </c>
      <c r="G22" s="6" t="s">
        <v>407</v>
      </c>
      <c r="H22" s="8" t="n">
        <v>25.35</v>
      </c>
    </row>
    <row r="23" customFormat="false" ht="15" hidden="false" customHeight="false" outlineLevel="0" collapsed="false">
      <c r="A23" s="6" t="s">
        <v>408</v>
      </c>
      <c r="B23" s="6" t="s">
        <v>409</v>
      </c>
      <c r="C23" s="6" t="s">
        <v>203</v>
      </c>
      <c r="D23" s="6" t="s">
        <v>16</v>
      </c>
      <c r="E23" s="6" t="s">
        <v>410</v>
      </c>
      <c r="F23" s="6" t="s">
        <v>389</v>
      </c>
      <c r="G23" s="6" t="s">
        <v>411</v>
      </c>
      <c r="H23" s="11" t="n">
        <v>30.9</v>
      </c>
    </row>
    <row r="24" customFormat="false" ht="15" hidden="false" customHeight="false" outlineLevel="0" collapsed="false">
      <c r="A24" s="6" t="s">
        <v>412</v>
      </c>
      <c r="B24" s="6" t="s">
        <v>413</v>
      </c>
      <c r="C24" s="6" t="s">
        <v>247</v>
      </c>
      <c r="D24" s="6" t="s">
        <v>15</v>
      </c>
      <c r="E24" s="6" t="s">
        <v>414</v>
      </c>
      <c r="F24" s="6" t="s">
        <v>319</v>
      </c>
      <c r="G24" s="6" t="s">
        <v>415</v>
      </c>
      <c r="H24" s="7" t="n">
        <v>328</v>
      </c>
    </row>
    <row r="25" customFormat="false" ht="15" hidden="false" customHeight="false" outlineLevel="0" collapsed="false">
      <c r="A25" s="6" t="s">
        <v>416</v>
      </c>
      <c r="B25" s="6" t="s">
        <v>417</v>
      </c>
      <c r="C25" s="6" t="s">
        <v>247</v>
      </c>
      <c r="D25" s="6" t="s">
        <v>15</v>
      </c>
      <c r="E25" s="6" t="s">
        <v>418</v>
      </c>
      <c r="F25" s="6" t="s">
        <v>389</v>
      </c>
      <c r="G25" s="6" t="s">
        <v>419</v>
      </c>
      <c r="H25" s="11" t="n">
        <v>60.4</v>
      </c>
    </row>
    <row r="27" customFormat="false" ht="15" hidden="false" customHeight="false" outlineLevel="0" collapsed="false">
      <c r="A27" s="12" t="s">
        <v>420</v>
      </c>
    </row>
  </sheetData>
  <autoFilter ref="A1:H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8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52"/>
  </cols>
  <sheetData>
    <row r="1" customFormat="false" ht="30" hidden="false" customHeight="true" outlineLevel="0" collapsed="false">
      <c r="A1" s="5" t="s">
        <v>421</v>
      </c>
      <c r="B1" s="5" t="s">
        <v>311</v>
      </c>
      <c r="C1" s="5" t="s">
        <v>422</v>
      </c>
      <c r="D1" s="5" t="s">
        <v>423</v>
      </c>
      <c r="E1" s="5" t="s">
        <v>424</v>
      </c>
      <c r="F1" s="5" t="s">
        <v>425</v>
      </c>
      <c r="G1" s="5" t="s">
        <v>426</v>
      </c>
    </row>
    <row r="2" customFormat="false" ht="23.85" hidden="false" customHeight="false" outlineLevel="0" collapsed="false">
      <c r="A2" s="6" t="s">
        <v>427</v>
      </c>
      <c r="B2" s="6" t="s">
        <v>428</v>
      </c>
      <c r="C2" s="6" t="s">
        <v>429</v>
      </c>
      <c r="D2" s="6" t="s">
        <v>430</v>
      </c>
      <c r="E2" s="6" t="s">
        <v>431</v>
      </c>
      <c r="F2" s="6" t="s">
        <v>432</v>
      </c>
      <c r="G2" s="6" t="s">
        <v>433</v>
      </c>
    </row>
    <row r="3" customFormat="false" ht="35.05" hidden="false" customHeight="false" outlineLevel="0" collapsed="false">
      <c r="A3" s="6" t="s">
        <v>434</v>
      </c>
      <c r="B3" s="6" t="s">
        <v>435</v>
      </c>
      <c r="C3" s="6" t="s">
        <v>436</v>
      </c>
      <c r="D3" s="6" t="s">
        <v>437</v>
      </c>
      <c r="E3" s="6" t="s">
        <v>438</v>
      </c>
      <c r="F3" s="6" t="s">
        <v>432</v>
      </c>
      <c r="G3" s="6" t="s">
        <v>439</v>
      </c>
    </row>
    <row r="4" customFormat="false" ht="23.85" hidden="false" customHeight="false" outlineLevel="0" collapsed="false">
      <c r="A4" s="6" t="s">
        <v>440</v>
      </c>
      <c r="B4" s="6" t="s">
        <v>441</v>
      </c>
      <c r="C4" s="6" t="s">
        <v>442</v>
      </c>
      <c r="D4" s="6" t="s">
        <v>443</v>
      </c>
      <c r="E4" s="6" t="s">
        <v>444</v>
      </c>
      <c r="F4" s="6" t="s">
        <v>445</v>
      </c>
      <c r="G4" s="6" t="s">
        <v>446</v>
      </c>
    </row>
    <row r="5" customFormat="false" ht="23.85" hidden="false" customHeight="false" outlineLevel="0" collapsed="false">
      <c r="A5" s="6" t="s">
        <v>447</v>
      </c>
      <c r="B5" s="6" t="s">
        <v>448</v>
      </c>
      <c r="C5" s="6" t="s">
        <v>449</v>
      </c>
      <c r="D5" s="6" t="s">
        <v>450</v>
      </c>
      <c r="E5" s="6" t="s">
        <v>197</v>
      </c>
      <c r="F5" s="6" t="s">
        <v>445</v>
      </c>
      <c r="G5" s="6" t="s">
        <v>451</v>
      </c>
    </row>
    <row r="6" customFormat="false" ht="23.85" hidden="false" customHeight="false" outlineLevel="0" collapsed="false">
      <c r="A6" s="6" t="s">
        <v>452</v>
      </c>
      <c r="B6" s="6" t="s">
        <v>453</v>
      </c>
      <c r="C6" s="6" t="s">
        <v>454</v>
      </c>
      <c r="D6" s="6" t="s">
        <v>455</v>
      </c>
      <c r="E6" s="6" t="s">
        <v>207</v>
      </c>
      <c r="F6" s="6" t="s">
        <v>456</v>
      </c>
      <c r="G6" s="6" t="s">
        <v>457</v>
      </c>
    </row>
    <row r="7" customFormat="false" ht="23.85" hidden="false" customHeight="false" outlineLevel="0" collapsed="false">
      <c r="A7" s="6" t="s">
        <v>458</v>
      </c>
      <c r="B7" s="6" t="s">
        <v>459</v>
      </c>
      <c r="C7" s="6" t="s">
        <v>460</v>
      </c>
      <c r="D7" s="6" t="s">
        <v>461</v>
      </c>
      <c r="E7" s="6" t="s">
        <v>462</v>
      </c>
      <c r="F7" s="6" t="s">
        <v>432</v>
      </c>
      <c r="G7" s="6" t="s">
        <v>463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2026-10-09T18:23:29Z</dcterms:created>
  <dc:creator>openpyxl</dc:creator>
  <dc:description/>
  <dc:language>en-US</dc:language>
  <cp:lastModifiedBy/>
  <dcterms:modified xsi:type="dcterms:W3CDTF">2026-10-09T18:23:29Z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